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C:\Users\alexe\Sync\Cambridge\Research\Data\"/>
    </mc:Choice>
  </mc:AlternateContent>
  <xr:revisionPtr revIDLastSave="0" documentId="13_ncr:1_{925FEB38-86F0-4B49-B53D-00CC7E3D30EB}" xr6:coauthVersionLast="47" xr6:coauthVersionMax="47" xr10:uidLastSave="{00000000-0000-0000-0000-000000000000}"/>
  <bookViews>
    <workbookView xWindow="28680" yWindow="-120" windowWidth="29040" windowHeight="15720" xr2:uid="{1F47665F-9214-4920-A078-13BC87677963}"/>
  </bookViews>
  <sheets>
    <sheet name="Collected_dates_final" sheetId="5" r:id="rId1"/>
    <sheet name="Collected_dates_working" sheetId="1" r:id="rId2"/>
    <sheet name="p3k14c_extra" sheetId="4" r:id="rId3"/>
    <sheet name="Journal Articles" sheetId="2" r:id="rId4"/>
    <sheet name="Journals" sheetId="3" r:id="rId5"/>
  </sheets>
  <definedNames>
    <definedName name="_xlnm._FilterDatabase" localSheetId="0" hidden="1">Collected_dates_final!$A$1:$U$227</definedName>
    <definedName name="_xlnm._FilterDatabase" localSheetId="1" hidden="1">Collected_dates_working!$A$1:$U$261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7" i="1" l="1"/>
  <c r="I78" i="1"/>
  <c r="I59" i="5"/>
  <c r="I58" i="5"/>
</calcChain>
</file>

<file path=xl/sharedStrings.xml><?xml version="1.0" encoding="utf-8"?>
<sst xmlns="http://schemas.openxmlformats.org/spreadsheetml/2006/main" count="4448" uniqueCount="666">
  <si>
    <t>Country</t>
  </si>
  <si>
    <t>Reference</t>
  </si>
  <si>
    <t>Notes</t>
  </si>
  <si>
    <t>LabID</t>
  </si>
  <si>
    <t>Age</t>
  </si>
  <si>
    <t>Error</t>
  </si>
  <si>
    <t>Material</t>
  </si>
  <si>
    <t>Taxa</t>
  </si>
  <si>
    <t>d13C</t>
  </si>
  <si>
    <t>Method</t>
  </si>
  <si>
    <t>Long</t>
  </si>
  <si>
    <t>Lat</t>
  </si>
  <si>
    <t>LocAccuracy</t>
  </si>
  <si>
    <t>Period</t>
  </si>
  <si>
    <t>SiteID</t>
  </si>
  <si>
    <t>SiteName</t>
  </si>
  <si>
    <t>Province</t>
  </si>
  <si>
    <t>Continent</t>
  </si>
  <si>
    <t>Source</t>
  </si>
  <si>
    <t>OxA-14499</t>
  </si>
  <si>
    <t>OxA-14500</t>
  </si>
  <si>
    <t>OxA-14501</t>
  </si>
  <si>
    <t>OxA-14502</t>
  </si>
  <si>
    <t>OxA-14503</t>
  </si>
  <si>
    <t>OxA-14504</t>
  </si>
  <si>
    <t>charcoal</t>
  </si>
  <si>
    <t>Wadh Lang'o</t>
  </si>
  <si>
    <t>Kenya</t>
  </si>
  <si>
    <t>Link</t>
  </si>
  <si>
    <t xml:space="preserve">https://www.cambridge.org/core/journals/antiquity/article/transition-to-farming-in-eastern-africa-new-faunal-and-dating-evidence-from-wadh-lango-and-usenge-kenya/6349026A5CED7E35C0D7EC4BBF2EFB38  </t>
  </si>
  <si>
    <t>Lane, P., Ashley, C., Seitsonen, O., Harvey, P., Mire, S., &amp; Odede, F. (2007). The transition to farming in eastern Africa: new faunal and dating evidence from Wadh Lang'o and Usenge, Kenya. Antiquity, 81(311), 62-81.</t>
  </si>
  <si>
    <t>https://www.cambridge.org/core/journals/antiquity/article/transition-to-farming-in-eastern-africa-new-faunal-and-dating-evidence-from-wadh-lango-and-usenge-kenya/6349026A5CED7E35C0D7EC4BBF2EFB39</t>
  </si>
  <si>
    <t>https://www.cambridge.org/core/journals/antiquity/article/transition-to-farming-in-eastern-africa-new-faunal-and-dating-evidence-from-wadh-lango-and-usenge-kenya/6349026A5CED7E35C0D7EC4BBF2EFB40</t>
  </si>
  <si>
    <t>https://www.cambridge.org/core/journals/antiquity/article/transition-to-farming-in-eastern-africa-new-faunal-and-dating-evidence-from-wadh-lango-and-usenge-kenya/6349026A5CED7E35C0D7EC4BBF2EFB41</t>
  </si>
  <si>
    <t>https://www.cambridge.org/core/journals/antiquity/article/transition-to-farming-in-eastern-africa-new-faunal-and-dating-evidence-from-wadh-lango-and-usenge-kenya/6349026A5CED7E35C0D7EC4BBF2EFB42</t>
  </si>
  <si>
    <t>https://www.cambridge.org/core/journals/antiquity/article/transition-to-farming-in-eastern-africa-new-faunal-and-dating-evidence-from-wadh-lango-and-usenge-kenya/6349026A5CED7E35C0D7EC4BBF2EFB43</t>
  </si>
  <si>
    <t>https://www.cambridge.org/core/journals/antiquity/article/transition-to-farming-in-eastern-africa-new-faunal-and-dating-evidence-from-wadh-lango-and-usenge-kenya/6349026A5CED7E35C0D7EC4BBF2EFB44</t>
  </si>
  <si>
    <t>CARD</t>
  </si>
  <si>
    <t>Iron Age</t>
  </si>
  <si>
    <t>Africa</t>
  </si>
  <si>
    <t>Beta-190746</t>
  </si>
  <si>
    <t>Usenge 3</t>
  </si>
  <si>
    <t>Urewe/MIA, Unit A</t>
  </si>
  <si>
    <t>Urewe/MIA hearth, Unit A</t>
  </si>
  <si>
    <t>Urewe, Unit A</t>
  </si>
  <si>
    <t>Urewe, Unit B</t>
  </si>
  <si>
    <t>Mixed Urewe/Elmenteitan(LSA), Unit B</t>
  </si>
  <si>
    <t>Urewe ceramic midden</t>
  </si>
  <si>
    <t>UCLA-170</t>
  </si>
  <si>
    <t>Russell</t>
  </si>
  <si>
    <t>Angola</t>
  </si>
  <si>
    <t>Furi I Mine</t>
  </si>
  <si>
    <t xml:space="preserve">https://www.cambridge.org/core/journals/journal-of-african-history/article/radiocarbon-dates-for-subsaharan-africa-from-c-1000-bciii/8BA42138F4602DFE0ABBAB3DE337AF97 </t>
  </si>
  <si>
    <t>Radiocarbon Dates for Sub-Saharan Africa (from c. 1000 b.c.)—III, B.M. Fagan, 1965, Journal of African History</t>
  </si>
  <si>
    <t>The presence of potsherds in the gravel suggests that the deposits were resorted in Iron Age times. Also discussed in: https://www.cambridge.org/core/journals/journal-of-african-history/article/radiocarbon-dates-from-west-central-africa-a-synthesis/DFCFE9E01C718441369720C1D7B0A85A, Radiocarbon Dates from West Central Africa: A Synthesis, de Maret, 1977</t>
  </si>
  <si>
    <t>Mucuquesse 3 Mine</t>
  </si>
  <si>
    <t>"Wood associated with bored stones which might belong to the
Late Stone Age or to the Early Iron Age". De Maret, 1977</t>
  </si>
  <si>
    <t>UCLA-717</t>
  </si>
  <si>
    <t>UCLA-711</t>
  </si>
  <si>
    <t>Dundo Airfield</t>
  </si>
  <si>
    <t>UCLA-716</t>
  </si>
  <si>
    <t>Ricoco II Rock Shelter</t>
  </si>
  <si>
    <t>Tchibaba mine</t>
  </si>
  <si>
    <t>UCLA-712</t>
  </si>
  <si>
    <t>Marrhura</t>
  </si>
  <si>
    <t>UCLA-715</t>
  </si>
  <si>
    <t>UCLA-718</t>
  </si>
  <si>
    <t>Museque Cave</t>
  </si>
  <si>
    <t xml:space="preserve">https://www.cambridge.org/core/journals/radiocarbon/article/ucla-radiocarbon-dates-iv/C02AA1800F2DADDFFAF23A559825B841 </t>
  </si>
  <si>
    <t>UCLA Radiocarbon Dates IV, Berger, 1965, Radiocarbon</t>
  </si>
  <si>
    <t>https://www.cambridge.org/core/journals/radiocarbon/article/ucla-radiocarbon-dates-iv/C02AA1800F2DADDFFAF23A559825B842</t>
  </si>
  <si>
    <t>https://www.cambridge.org/core/journals/radiocarbon/article/ucla-radiocarbon-dates-iv/C02AA1800F2DADDFFAF23A559825B840</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</si>
  <si>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1977</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</si>
  <si>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1978</t>
  </si>
  <si>
    <t>https://www.cambridge.org/core/journals/radiocarbon/article/ucla-radiocarbon-dates-iv/C02AA1800F2DADDFFAF23A559825B843</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</si>
  <si>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1976</t>
  </si>
  <si>
    <t>Enkapune Ya Muto (GtJil2)</t>
  </si>
  <si>
    <t xml:space="preserve">https://www.sciencedirect.com/science/article/pii/S0305440397902776 </t>
  </si>
  <si>
    <t>Ambrose, Chronology of the Later Stone Age and Food Production in East Africa, 1998, Journal of Archeological Science</t>
  </si>
  <si>
    <t>GX-9936</t>
  </si>
  <si>
    <t>GX-9935</t>
  </si>
  <si>
    <t>Iron Age, Lanet ceramics</t>
  </si>
  <si>
    <t xml:space="preserve"> Iron Age, aceramic</t>
  </si>
  <si>
    <t>Mtuzi Hill Rockshelter (DZ126)</t>
  </si>
  <si>
    <t>"At Mtuzi rockshelter (site DZ I26),
 the whole pottery sequence from Nkope to modern Chewa is represented9l
 and, as in all rockshelter sites in the area, there wares are associated with
 microlithic tools. Nkope ware, which at this site is associated with cattle
 remains, has been dated to the third or fourth century a.d. (Har-2335,
 Pta-2030); a third sample from the same level (Pta-2039) is younger than
 expected."</t>
  </si>
  <si>
    <t>Pta-2030</t>
  </si>
  <si>
    <t>Har-2335</t>
  </si>
  <si>
    <t>https://www.jstor.org/stable/181297</t>
  </si>
  <si>
    <t>Mgomezulu, Recent archaeological research and radiocarbon dates from Eastern Africa, Journal of African History, 1981</t>
  </si>
  <si>
    <t>Mgomezulu, Recent archaeological research and radiocarbon dates from Eastern Africa, Journal of African History, 1982</t>
  </si>
  <si>
    <t>Malawi</t>
  </si>
  <si>
    <t>Pta-2752</t>
  </si>
  <si>
    <t>Munga Hill</t>
  </si>
  <si>
    <t>Mgomezulu, Recent archaeological research and radiocarbon dates from Eastern Africa, Journal of African History, 1983</t>
  </si>
  <si>
    <t>https://www.jstor.org/stable/181298</t>
  </si>
  <si>
    <t xml:space="preserve">8 At Munga Hill site, Nkope ware associated with iron slag and tuyeres has been dated to the third century a.d. </t>
  </si>
  <si>
    <t>MUN</t>
  </si>
  <si>
    <t>Pta-235</t>
  </si>
  <si>
    <t>Namibia</t>
  </si>
  <si>
    <t>Dikundu</t>
  </si>
  <si>
    <t>Sutton, New Radiocarbon dates for Eastern and Southern Africa, 1972, Journal of African History</t>
  </si>
  <si>
    <t xml:space="preserve">https://www.jstor.org/stable/180964 </t>
  </si>
  <si>
    <t>Obtained from a charcoal sample taken from an iron-smelting furnace built into an ant-heap</t>
  </si>
  <si>
    <t>Pta-236</t>
  </si>
  <si>
    <t>Pta-234</t>
  </si>
  <si>
    <t>Vungu Vungu</t>
  </si>
  <si>
    <t>Kapako</t>
  </si>
  <si>
    <t>These span the Iron Age occupation and are internally consistent. The associated material included iron tools and pottery which has similarities to present-day Amharic wares</t>
  </si>
  <si>
    <t>Ethiopia</t>
  </si>
  <si>
    <t>Y-2365</t>
  </si>
  <si>
    <t>Y-2366</t>
  </si>
  <si>
    <t>Y-2368</t>
  </si>
  <si>
    <t>Y-2433</t>
  </si>
  <si>
    <t>Lalibela Cave</t>
  </si>
  <si>
    <t>Natchabiet</t>
  </si>
  <si>
    <t xml:space="preserve">Also see: Preliminary report on excavations in Lalibela and Natchabiet Caves, Dombrowski,  https://www.persee.fr/doc/ethio_0066-2127_1970_num_8_1_880 </t>
  </si>
  <si>
    <t>N-784</t>
  </si>
  <si>
    <t>Chobi</t>
  </si>
  <si>
    <t>Uganda</t>
  </si>
  <si>
    <t>"for 'dimple-based' ware of the early first millennium A.D."</t>
  </si>
  <si>
    <t>GrN-5752</t>
  </si>
  <si>
    <t>GrN-5753</t>
  </si>
  <si>
    <t>Rutare</t>
  </si>
  <si>
    <t>Rwanda</t>
  </si>
  <si>
    <t>"Suprisingly early though these three dates are for Iron Age activity anywhere in eastern or
 central Africa, it should be noted that they come from controlled excava-
 tions in two adjacent districts, which have moreover produced some of
 the finest 'dimple-based' pots associated with brick-built iron-smelting
 furnaces.31 It would be unwise therefore summarily to dismiss these
 dates as aberrant. On the other hand, they must be treated with caution
 for the time being"</t>
  </si>
  <si>
    <t>N-890</t>
  </si>
  <si>
    <t>N-895</t>
  </si>
  <si>
    <t>Katuruka</t>
  </si>
  <si>
    <t>Tanzania</t>
  </si>
  <si>
    <t>N-891</t>
  </si>
  <si>
    <t>N-892</t>
  </si>
  <si>
    <t>N-898</t>
  </si>
  <si>
    <t>https://www.jstor.org/stable/180974</t>
  </si>
  <si>
    <t>Late Iron Age</t>
  </si>
  <si>
    <t>N-893</t>
  </si>
  <si>
    <t>N-896</t>
  </si>
  <si>
    <t>RL-405</t>
  </si>
  <si>
    <t>RL-406</t>
  </si>
  <si>
    <t>N-902</t>
  </si>
  <si>
    <t>Makongo</t>
  </si>
  <si>
    <t>Early Iron Age sites with 'dimple-based'
 pottery</t>
  </si>
  <si>
    <t xml:space="preserve">Iron Age </t>
  </si>
  <si>
    <t>N-900</t>
  </si>
  <si>
    <t>N-901</t>
  </si>
  <si>
    <t>"However, two
 of the Makongo dates (N-900, N-901), falling at the end of first millennium
 A.D., are later than the general run for 'dimple-based' pottery"</t>
  </si>
  <si>
    <t>Journals</t>
  </si>
  <si>
    <t>The African Arcaheological Review</t>
  </si>
  <si>
    <t>Azania: Arcaheological Research in Africa</t>
  </si>
  <si>
    <t>Journal of African History</t>
  </si>
  <si>
    <t>Journal of African Archeology</t>
  </si>
  <si>
    <t>Nyame Akuma</t>
  </si>
  <si>
    <t xml:space="preserve">Journal Articles </t>
  </si>
  <si>
    <t>Fine tooth comb up until page 11. Simbusenga dates not added</t>
  </si>
  <si>
    <t>New Radiocarbon Dates for Eastern and Southern Africa, Sutton, 1972, Journal of African History</t>
  </si>
  <si>
    <t>"These were not associated with 'dimple-based', but with roulette-decorated sherds, for which a
 Late Iron Age dating of this order was to be expected"</t>
  </si>
  <si>
    <t>https://www.jstor.org/stable/180964</t>
  </si>
  <si>
    <t>Pta-5161</t>
  </si>
  <si>
    <t>Skeurkrans</t>
  </si>
  <si>
    <t>South Africa</t>
  </si>
  <si>
    <t>Vogel, Spatial distribution of radiocarbon dates for the Iron Age in Southern Africa, The South African Archaeological Bulletin, 1999</t>
  </si>
  <si>
    <t>https://www.jstor.org/stable/3889287</t>
  </si>
  <si>
    <t>Location coordinates are for Goergap, a site across the river. "Skeurkrans is an Iron Age site some 52 km west of Pot-
 gietersrust, excavated in 1989 by Jan Aukema. The date is
 for a lower level with Bambata pottery. The age of 1850 BP suggests a calibrated third century date. Such early penetration of Iron Age groups into the north-west of the country  will, however, need confirmation from other actual settle-
 ment sites in the region." See also Seeking shelter: Later Stone Age hunters, gatherers and fishers of Olieboomspoort in the western Waterberg, south of the Limpopo
Maria Magdalena van der Ryst: "The
hilltop site of Skeurkrans was settled by indigenous farmers, and the lithics and rippled rim
pottery underlay a fully developed IA horizon (Aukema, Boeyens &amp; Van der Ryst 1989, field
notes; Van der Ryst 2003)."</t>
  </si>
  <si>
    <t>Pta-2486</t>
  </si>
  <si>
    <t>Zambia</t>
  </si>
  <si>
    <t>Vogel, Spatial distribution of radiocarbon dates for the Iron Age in Southern Africa, The South African Archaeological Bulletin, 2000</t>
  </si>
  <si>
    <t>Also known as Setumpa. "It is unclear when it was first established as an Iron Age
 settlement". Also see: Some Early Iron Age Sites from the Machili Valley of South Western Zambia
N. M. Katanekwa</t>
  </si>
  <si>
    <t>SR-24</t>
  </si>
  <si>
    <t>"Charcoal from a depth of 42 inches in the Kalahari sands of the Machili
valley. The sample comes from an old land surface which is widespread in
eastern Barotseland. "</t>
  </si>
  <si>
    <t>Fagan, Radiocarbon dates for sub-Saharan Africa III, Journal of African History, 1965</t>
  </si>
  <si>
    <t>https://www.cambridge.org/core/journals/journal-of-african-history/article/radiocarbon-dates-for-subsaharan-africa-from-c-1000-bciii/8BA42138F4602DFE0ABBAB3DE337AF97</t>
  </si>
  <si>
    <t>"Channel-decorated pottery occurs at the same depth
at Machili Forest Station itself and sample C-829 from that horizon has
been dated "</t>
  </si>
  <si>
    <t>Fagan, Radiocarbon dates for sub-Saharan Africa III, Journal of African History, 1966</t>
  </si>
  <si>
    <t>C-829</t>
  </si>
  <si>
    <t>Kamusongolwa Kopje, Kasempa</t>
  </si>
  <si>
    <t>Fagan, Radiocarbon dates for sub-Saharan Africa III, Journal of African History, 1967</t>
  </si>
  <si>
    <t>SR-28</t>
  </si>
  <si>
    <t>"The sample comes from a depth of 4 inches in an Iron Age level overlying a Wilton horizon in a rock-shelter near Kasempa township. This is
the first dated Iron Age level from the North Western Province. The pottery
is quite unlike any contemporary wares, showing that there was considerable cultural diversification in Zambia at this period in the Iron Age"</t>
  </si>
  <si>
    <t>Malapati</t>
  </si>
  <si>
    <t>Zimbabwe</t>
  </si>
  <si>
    <t>Fagan, Radiocarbon dates for sub-Saharan Africa III, Journal of African History, 1968</t>
  </si>
  <si>
    <t>SR-33</t>
  </si>
  <si>
    <t>"That from Malapati came from a shallow
midden which yielded later Gokomere pottery.8
 Malapati pottery can be
compared to the sherds from Matokoma near Louis Trichardt in South
Africa."</t>
  </si>
  <si>
    <t>Ziwa Farm</t>
  </si>
  <si>
    <t>Fagan, Radiocarbon dates for sub-Saharan Africa III, Journal of African History, 1969</t>
  </si>
  <si>
    <t>SR-17</t>
  </si>
  <si>
    <t>"This sample came from a grave which contained a young female skeleton
(±14 years) of Negroid type"</t>
  </si>
  <si>
    <t>SR-32</t>
  </si>
  <si>
    <t>Fagan, Radiocarbon dates for sub-Saharan Africa III, Journal of African History, 1970</t>
  </si>
  <si>
    <t>"Charcoal from a ritual pit"</t>
  </si>
  <si>
    <t>SR-38</t>
  </si>
  <si>
    <t>Fagan, Radiocarbon dates for sub-Saharan Africa III, Journal of African History, 1971</t>
  </si>
  <si>
    <t>"Charcoal which adhered to the skull of a young Negroid male (16 years)"</t>
  </si>
  <si>
    <t xml:space="preserve"> Summers, 'The Southern Rhodesian Iron Age', Joumal African History, 1961</t>
  </si>
  <si>
    <t>B-233</t>
  </si>
  <si>
    <t xml:space="preserve">https://www.cambridge.org/core/journals/journal-of-african-history/article/southern-rhodesian-iron-age/0305000385ECB3D1D56EB965D406A973 </t>
  </si>
  <si>
    <t>Mutema's Sacred Grove, Melsetter</t>
  </si>
  <si>
    <t>"Sample taken from a post found on the surface before excavations began"</t>
  </si>
  <si>
    <t>SR-36</t>
  </si>
  <si>
    <t>SR-37</t>
  </si>
  <si>
    <t>"From a wooden post found below the surface"</t>
  </si>
  <si>
    <t>Kalambo Falls</t>
  </si>
  <si>
    <t>GrN-3189</t>
  </si>
  <si>
    <t>"A laboratory comment on this date states: 'Due to known variation in C14 content
of the atmosphere at this time, an age of ca. AD 1350 is also possible.'" "GrN-3189 shows
that Kalambo ware, directly related to the earliest Zambian pottery, survived well into the second millennium."</t>
  </si>
  <si>
    <t>GrN-3580</t>
  </si>
  <si>
    <t>L-395A</t>
  </si>
  <si>
    <t>L-395B</t>
  </si>
  <si>
    <t>L-395C</t>
  </si>
  <si>
    <t>"There is every indication that channel-decorated pottery-makers were
living at Kalambo Falls for at least a thousand years"</t>
  </si>
  <si>
    <t>GrN-4646</t>
  </si>
  <si>
    <t>Nakapapula</t>
  </si>
  <si>
    <t>https://www.cambridge.org/core/journals/journal-of-african-history/article/early-iron-age-in-zambiaregional-variants-and-some-tentative-conclusions/0301F984B30D1967F7AB21626D8F4038</t>
  </si>
  <si>
    <t>Phillipson, The Early Iron Age in Zambia, Journal of African History, 1968</t>
  </si>
  <si>
    <t>GX-0535</t>
  </si>
  <si>
    <t>GX-0767</t>
  </si>
  <si>
    <t>GrN-4647</t>
  </si>
  <si>
    <t>https://www.jstor.org/stable/24520285</t>
  </si>
  <si>
    <t>The Chronology of Zambian Prehistory, Derricourt, Transafrican Journal of History, 1976</t>
  </si>
  <si>
    <t>Bigo</t>
  </si>
  <si>
    <t>GXO-516</t>
  </si>
  <si>
    <t>GXO-517</t>
  </si>
  <si>
    <t>GXO-519</t>
  </si>
  <si>
    <t xml:space="preserve">https://www.cambridge.org/core/journals/journal-of-african-history/article/radiocarbon-dates-for-subsaharan-africaiv/58A6CD02A3A05C3456F509A65D6B7BE3 </t>
  </si>
  <si>
    <t xml:space="preserve">Fagan, Radiocarbon dates for sub-Saharan Africa IV, Journal of African History, 1966 </t>
  </si>
  <si>
    <t xml:space="preserve">https://www.cambridge.org/core/services/aop-cambridge-core/content/view/58A6CD02A3A05C3456F509A65D6B7BE3/S002185370000654Xa.pdf/radiocarbon-dates-for-sub-saharan-africaiv.pdf </t>
  </si>
  <si>
    <t>Have added all dates that are in Russell database</t>
  </si>
  <si>
    <t>Kilwa Kisiwani</t>
  </si>
  <si>
    <t>SR-78</t>
  </si>
  <si>
    <t>SR-76</t>
  </si>
  <si>
    <t>Two additonal samples SR-77 and GXO-398 give anomalous results which can not be reconciled with SR-76 and SR-78. They are not included here. Russell et al. use GXO-398 in their analysis as the date for the site. Flag this in the discussion.</t>
  </si>
  <si>
    <t>Y-570</t>
  </si>
  <si>
    <t>SR-40</t>
  </si>
  <si>
    <t>Hyrax Hill, Nakuru</t>
  </si>
  <si>
    <t>Muringa, Moiben</t>
  </si>
  <si>
    <t>Y-1395</t>
  </si>
  <si>
    <t>Y-1396</t>
  </si>
  <si>
    <t>Lanet II</t>
  </si>
  <si>
    <t xml:space="preserve">Sirikwa holes. Who made the Sirikwa holes? See: https://www.jstor.org/stable/pdf/2797448.pdf . From the above link we have: "at Muringa, overlooking the Moiben valley on the northern side of the Uasin Gishu plateau". Co-ordinates given are for Moiben village. Taken from wikipedia </t>
  </si>
  <si>
    <t>GX-17504</t>
  </si>
  <si>
    <t xml:space="preserve">https://www.tandfonline.com/doi/pdf/10.1080/00672709709511586 </t>
  </si>
  <si>
    <t>Kyule, The Sirikwa Economy, Azania, 1997</t>
  </si>
  <si>
    <t>There should be various other dates associated with this site…</t>
  </si>
  <si>
    <t>Sirikwa hole site. See also: Posnansky 1967, Excavations at Lanet, 1957. Azania 2: 89-114. Is this a PIA site?</t>
  </si>
  <si>
    <t>Derricourt, The Chronology of Zambian Prehistory, Transafrican Journal of History, 1976</t>
  </si>
  <si>
    <t xml:space="preserve">https://www.jstor.org/stable/pdf/24520285.pdf </t>
  </si>
  <si>
    <t>Kamnama</t>
  </si>
  <si>
    <t>N-908</t>
  </si>
  <si>
    <t>Kangonga</t>
  </si>
  <si>
    <t>GX-1328</t>
  </si>
  <si>
    <t>GX-1327</t>
  </si>
  <si>
    <t>Kansanshi</t>
  </si>
  <si>
    <t>N-1286</t>
  </si>
  <si>
    <t>N-1283</t>
  </si>
  <si>
    <t>N-1284</t>
  </si>
  <si>
    <t>N-1439</t>
  </si>
  <si>
    <t>N-1440</t>
  </si>
  <si>
    <t>N-1441</t>
  </si>
  <si>
    <t>N-1281</t>
  </si>
  <si>
    <t>N-1282</t>
  </si>
  <si>
    <t>Kapwirimbwe</t>
  </si>
  <si>
    <t>GX-1013</t>
  </si>
  <si>
    <t>GX-1013A</t>
  </si>
  <si>
    <t>GX-1012</t>
  </si>
  <si>
    <t>Lubusi</t>
  </si>
  <si>
    <t>SR-211</t>
  </si>
  <si>
    <t>Situmpa, Machili</t>
  </si>
  <si>
    <t>"The occurrence of Early Iron Age pottery in otherwise LSA contexts has been noted before, but has not previously been dates, The close similarity between the Nakapapula pottery and that from Early Iron Age sites which are totally lacking in Late Stone Age artifacts, would appear to rule out the possibility that pottery-making was developed by Late Stone Age people. Either we must assume a certain amount contact between the latter and their Iron Age contemporaries, a theory which is not supported by the homogeneity of the stone industry; or else we must regard the pottery as having been obtained by th Age inhabitants of the site by barter or by theft."  Also note this comment from Derricourt, The Chronology of Zambian Prehistory,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t>
  </si>
  <si>
    <t>GX-1551</t>
  </si>
  <si>
    <t>SR-207</t>
  </si>
  <si>
    <t>SR-206</t>
  </si>
  <si>
    <t>Makwe Shelter</t>
  </si>
  <si>
    <t>Is this EIA or LSA?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t>
  </si>
  <si>
    <t xml:space="preserve">Isamu Pati </t>
  </si>
  <si>
    <t>R-874</t>
  </si>
  <si>
    <t>UCLA-177</t>
  </si>
  <si>
    <t>SR-30</t>
  </si>
  <si>
    <t>SR-20</t>
  </si>
  <si>
    <t>SR-31</t>
  </si>
  <si>
    <t>UCLA-176</t>
  </si>
  <si>
    <t>UCLA-175</t>
  </si>
  <si>
    <t>"These dates were run from four charcoal samples from stratigraphical
levels in the Isamu Pati mound, which is ten feet deep. They provide a
firmly dated bracket for the middle phases of the Kalomo culture" See: Radiocarbon dates for sub-saharan Africa II (https://www.cambridge.org/core/journals/journal-of-african-history/article/radiocarbon-dates-for-subsaharan-africa-from-c-1000-bcii/B7A7A482DAF59EDF58C222431D4EE924)</t>
  </si>
  <si>
    <t>https://www.cambridge.org/core/journals/journal-of-african-history/article/radiocarbon-dates-for-subsaharan-africa-from-c-1000-bcii/B7A7A482DAF59EDF58C222431D4EE924</t>
  </si>
  <si>
    <t>Fagan, Radiocarbon dates for sub-Saharan Africa II, Journal of African History, 1963</t>
  </si>
  <si>
    <t>SR-19</t>
  </si>
  <si>
    <t>Bedrock. Does this affect whether or not to include this date? Also see comment: "After using the Isamu Pati data, he has suggested that the least improbable chronology for the Isamu Pati is between about A.D. 725 and 1200." Fagan, Radiocarbon dates for sub-Saharan Africa III</t>
  </si>
  <si>
    <t>Mwanamaimpa</t>
  </si>
  <si>
    <t>N-585</t>
  </si>
  <si>
    <t>N-586</t>
  </si>
  <si>
    <t>N-583</t>
  </si>
  <si>
    <t>N-584</t>
  </si>
  <si>
    <t>N-587</t>
  </si>
  <si>
    <t>N-581</t>
  </si>
  <si>
    <t>N-582</t>
  </si>
  <si>
    <t>N-433</t>
  </si>
  <si>
    <t>N-432</t>
  </si>
  <si>
    <t>Ndonde</t>
  </si>
  <si>
    <t xml:space="preserve">Excluded the sample Russell made use of in her analysis (N-343), but later dates for this site are considered reliable. </t>
  </si>
  <si>
    <t>UCLA-1632B</t>
  </si>
  <si>
    <t>SR-148</t>
  </si>
  <si>
    <t>Phopo Hill</t>
  </si>
  <si>
    <t>SR-161</t>
  </si>
  <si>
    <t>SR-128</t>
  </si>
  <si>
    <t xml:space="preserve">https://www.cambridge.org/core/journals/journal-of-african-history/article/notes-on-the-later-prehistoric-radiocarbon-chronology-of-eastern-and-southern-africa/1A9531B871F748FF3F47467C5CF0D675 </t>
  </si>
  <si>
    <t>Phillipson, Notes on the Later Prehistoric Radiocarbon Chronology of Eastern and Southern Africa, Journal of African History, 1970</t>
  </si>
  <si>
    <t>Pwaga</t>
  </si>
  <si>
    <t>East African rouletted pottery</t>
  </si>
  <si>
    <t>"the earliest so far obtained
for East African rouletted pottery"</t>
  </si>
  <si>
    <t>N-463</t>
  </si>
  <si>
    <t>N-462</t>
  </si>
  <si>
    <t>N-461</t>
  </si>
  <si>
    <t>Kwale Forest</t>
  </si>
  <si>
    <t>Kwale Ditch</t>
  </si>
  <si>
    <t>N-483</t>
  </si>
  <si>
    <t>N-484</t>
  </si>
  <si>
    <t>N-291</t>
  </si>
  <si>
    <t>N-292</t>
  </si>
  <si>
    <t>Kwale</t>
  </si>
  <si>
    <t>"Both sites are within one mile of the type site of the Kwale Early Iron Age group of south-eastern Kenya and north-eastern Tanzania and have yielded pottery of similar character, together with iron objects and slag." Also see: https://web.archive.org/web/20180725170031id_/https://www.cambridge.org/core/services/aop-cambridge-core/content/view/D3E50308F390E3E12F6BF604E5EBFC9E/S0033822200011334a.pdf/div-class-title-riken-natural-radiocarbon-measurements-v-div.pdf (actual dates in BP come from here)</t>
  </si>
  <si>
    <t>Also see: * R. C. Soper, 'Kwale, an Early Iron Age Site in South-Eastern Kenya', Azania, H
(1967), 1-18. And see: https://web.archive.org/web/20180725170031id_/https://www.cambridge.org/core/services/aop-cambridge-core/content/view/D3E50308F390E3E12F6BF604E5EBFC9E/S0033822200011334a.pdf/div-class-title-riken-natural-radiocarbon-measurements-v-div.pdf (actual dates in BP come from here) "N-292 required as check for N-291, which could conceivably be more recent root intrusion carbonized in situ."</t>
  </si>
  <si>
    <t>Also see: * R. C. Soper, 'Kwale, an Early Iron Age Site in South-Eastern Kenya', Azania, H
(1967), 1-17. And see: https://web.archive.org/web/20180725170031id_/https://www.cambridge.org/core/services/aop-cambridge-core/content/view/D3E50308F390E3E12F6BF604E5EBFC9E/S0033822200011334a.pdf/div-class-title-riken-natural-radiocarbon-measurements-v-div.pdf (actual dates in BP come from here)</t>
  </si>
  <si>
    <r>
      <t xml:space="preserve">Paul Lane, The Archaeology of Pastoralism and stock-keeping in East African, The Oxford Handbook of African Archaeology, [p.596] attributes these sites to the Pastoral Iron Age. Personal correspondence with Paul: </t>
    </r>
    <r>
      <rPr>
        <b/>
        <sz val="11"/>
        <color theme="1"/>
        <rFont val="Calibri"/>
        <family val="2"/>
        <scheme val="minor"/>
      </rPr>
      <t>"Normally sites such as Deloraine, Lanet &amp; Hyrax Hill would not be considered relevant to the issue of the arrival/presence of Bantu language speakers - because as you note they are regarded as Pastoral Iron Age societies with an implicit association with speakers of Nilotic languages (they might have been associated with Afro-Asiatic language speakers, although I have never seen anyone argue that)
So the simplest approach might be to ignore them
But if you want to disaggregate your proxies, then they are important for understanding the spread of iron working technology and for illustrating that this does not align perfectly with other proxies
Whether this knowledge/technological transfer came via interaction with neighbouring Bantu language speakers (or even that the first smiths were itinerant Bantu language speaking smiths who later become distinct craft castes within pastoralist societies) has never been explored either - the only archaeometallurgical studies are those undertaken by Louise Iles on rather later samples from Laikipia
The flow of knowledge could indeed have come from southern Sudan, as you note
I am not sure if this helps, but by raising this question your bring to the fore the need for a) more research on the topic, and b) greater clarity as to what the presence of evidence for iron working actually signals - it may not be the most appropriate material proxy for language family affiliation - I think there are some historical linguistic studies that can be drawn on but I am not aware of other archaeological work."</t>
    </r>
  </si>
  <si>
    <t>Bombo</t>
  </si>
  <si>
    <t>Bombo Mission</t>
  </si>
  <si>
    <t>"sample belongs to different Iron-age culture from that of N-347."</t>
  </si>
  <si>
    <t>N-347</t>
  </si>
  <si>
    <t>N-348</t>
  </si>
  <si>
    <t>"associated with Iron-age pottery"</t>
  </si>
  <si>
    <t>https://www.cambridge.org/core/journals/radiocarbon/article/riken-natural-radiocarbon-measurements-iv/13DBB5869D40361CB40CF3E49731E54D</t>
  </si>
  <si>
    <t xml:space="preserve">https://www.cambridge.org/core/journals/radiocarbon/article/riken-natural-radiocarbon-measurements-iv/13DBB5869D40361CB40CF3E49731E54D </t>
  </si>
  <si>
    <t>Yamasaki, Riken Natural Radiocarbon Measurements IV, Radiocarbon, 1968</t>
  </si>
  <si>
    <t>Amboni Cave</t>
  </si>
  <si>
    <t>N-349</t>
  </si>
  <si>
    <t>"date is much earlier than expected, as associated pottery seemed unlikely to
be earlier than ca. 12th or 13th century A.D"</t>
  </si>
  <si>
    <t>Coronation Park</t>
  </si>
  <si>
    <t xml:space="preserve">https://www.cambridge.org/core/journals/radiocarbon/article/riken-natural-radiocarbon-measurements-viii/09004EA1B98B383286599B3B6C414027 </t>
  </si>
  <si>
    <t>Yamasaki, Riken Natural Radiocarbon Measurements VIII, Radiocarbon, 1974</t>
  </si>
  <si>
    <t xml:space="preserve">https://www.cambridge.org/core/journals/radiocarbon/article/riken-natural-radiocarbon-measurements-viii/09004EA1B98B383286599B3B6C414027  </t>
  </si>
  <si>
    <t>N-978</t>
  </si>
  <si>
    <t>N-979</t>
  </si>
  <si>
    <t>N-1275</t>
  </si>
  <si>
    <t>Charcoal from Early Iron age Zhizo site at Makuru</t>
  </si>
  <si>
    <t>Makuru</t>
  </si>
  <si>
    <t>N-431</t>
  </si>
  <si>
    <t>Yamasaki, Riken Natural Radiocarbon Measurements V, Radiocarbon, 1969</t>
  </si>
  <si>
    <t xml:space="preserve">https://www.cambridge.org/core/journals/radiocarbon/article/riken-natural-radiocarbon-measurements-v/D3E50308F390E3E12F6BF604E5EBFC9E </t>
  </si>
  <si>
    <t>Dates given here are differing from those in Phillipson and Derricourt… What is happening?</t>
  </si>
  <si>
    <t xml:space="preserve">https://www.cambridge.org/core/journals/journal-of-african-history/article/radiocarbon-dates-for-subsaharan-africa-v/5513115DB13AC46B61F2F3B3BD25A841 </t>
  </si>
  <si>
    <t xml:space="preserve">Fagan, Radiocarbon dates for sub-Saharan Africa V, Journal of African History, 1967 </t>
  </si>
  <si>
    <t>N-256</t>
  </si>
  <si>
    <t>"The sample is charcoal associated with a lime pit of the very beginning of
Period II, that of the Shirazi dynasty, at Kilwa"</t>
  </si>
  <si>
    <t>Ivuna</t>
  </si>
  <si>
    <t>N-272</t>
  </si>
  <si>
    <t>N-273</t>
  </si>
  <si>
    <t>N-274</t>
  </si>
  <si>
    <t>N-275</t>
  </si>
  <si>
    <t>"Four charcoal samples from salt-working dumps excavated during 1966.
A 6-6 m. Iron Age sequence yielded many potsherds and four occupation
zones"</t>
  </si>
  <si>
    <t>From Fagan V: "From Site C, ca. 29 ft. above river level, Grid square GH 3. Charcoals from
shaft of grave no. 11. Iron Age settlement, over top of current bedded sands
(F 6) of Mbwilo Formation. Associated with a rich collection of Channelled ware
pottery of Iron Age Kalambo industry."</t>
  </si>
  <si>
    <t>From Fagan V: "Associated with Iron Age Kalambo industry"</t>
  </si>
  <si>
    <t>"Excavations at one of the sites, Kwamboo, have
 yielded a ceramic assemblage showing both similarities to and differences
 from the pottery from Kwale itself. Two radiocarbon dates indicate occupation
 around the beginning of the third century a.d. (GX-7020, GX-702 I ).112 This
 suggests that Early Iron Age farmers had settled extensively in the Eastern
 Highlands probably early in the first millennium a.d."</t>
  </si>
  <si>
    <t>Robertshaw, Archaeology in Eastern Africa: Recent Developments and More Dates, Journal of African History, 1984</t>
  </si>
  <si>
    <t xml:space="preserve">https://www.cambridge.org/core/journals/journal-of-african-history/article/archaeology-in-eastern-africa-recent-developments-and-more-dates1/24BC2862EAA2CFB48AF4CF509DF89564 </t>
  </si>
  <si>
    <t>Kwamboo</t>
  </si>
  <si>
    <t>GX-7020</t>
  </si>
  <si>
    <t>GX-7021</t>
  </si>
  <si>
    <t>"A surprisingly early date, falling in the first half of
 the first millennium a.d. (GX-8746), for Gatung'ang'a pottery from the site
 of Kithiru in Meru District. It seems probable that Gatung'ang'a pottery
 develops from Kwale ceramics."</t>
  </si>
  <si>
    <t>Kithiru (GpJp 35)</t>
  </si>
  <si>
    <t>GX-8746</t>
  </si>
  <si>
    <t>Ganga (GpJa 17)</t>
  </si>
  <si>
    <t>GX-8748</t>
  </si>
  <si>
    <t>"Further north, Soper has excavated at the site of GpJa I7 in Busia District;
 this contains Urewe pottery and dates to around the late second century a.d.
 (GX-8748)."</t>
  </si>
  <si>
    <t>Mufulwe</t>
  </si>
  <si>
    <t>"reported to document the appearance of Early Iron Age
 pottery within deposits containing a microlithic industry"</t>
  </si>
  <si>
    <t>Pta-3255</t>
  </si>
  <si>
    <t>Pta-3256</t>
  </si>
  <si>
    <t>Mumba-Hohle</t>
  </si>
  <si>
    <t>"A date around
 the late second century a.d. (ISGS-565) from the top of Bed III relates either
 to the end of the Later Stone Age or to Lelesu pottery of the Early Iron Age"</t>
  </si>
  <si>
    <t>ISGS-565</t>
  </si>
  <si>
    <t>NZ-4515</t>
  </si>
  <si>
    <t>NZ-4517</t>
  </si>
  <si>
    <t>NZ-4518</t>
  </si>
  <si>
    <t>NZ-4519</t>
  </si>
  <si>
    <t>NZ-4520</t>
  </si>
  <si>
    <t>NZ-4521</t>
  </si>
  <si>
    <t>NZ-4522</t>
  </si>
  <si>
    <t>"The site yielded one iron blade, slag, daga fragments and abundant pottery
 which most nearly resembles that from Roan Antelope, on the Copperbelt."</t>
  </si>
  <si>
    <t>Muteteshi I</t>
  </si>
  <si>
    <t>N-3426</t>
  </si>
  <si>
    <t>N-3427</t>
  </si>
  <si>
    <t>N-3428</t>
  </si>
  <si>
    <t>N-3429</t>
  </si>
  <si>
    <t>Salumano</t>
  </si>
  <si>
    <t>N-2314</t>
  </si>
  <si>
    <t>Maggs, Some Recent Radiocarbon Dates from Eastern and Southern Africa, Journal of African History, 1977</t>
  </si>
  <si>
    <t xml:space="preserve">https://www.cambridge.org/core/journals/journal-of-african-history/article/some-recent-radiocarbon-dates-from-eastern-and-southern-africa/69145CE18F5E9D6A7370640EFFBD7406 </t>
  </si>
  <si>
    <t>The date appears early, but as Mgomezulu comments: "The date in the
 fourth century b.c. (N-23 14) for Situmpa site, already reported, is
 supported both by a date in the second century b.c. from the same site
 (Pta-2486) and by a date early in the fourth century b.c. for Situmpa pottery
 at Salumano"</t>
  </si>
  <si>
    <t>Otherwise known as Rugomora Mahe</t>
  </si>
  <si>
    <t>"T. N. Huffman has another seventh-century date (Pta-1193) for the
Sinoia tradition of Rhodesia, which has typological links with the Kapwirimbwe group from Zambia."</t>
  </si>
  <si>
    <t>Pta-1193</t>
  </si>
  <si>
    <t>Ndaba</t>
  </si>
  <si>
    <t>Mwika IV</t>
  </si>
  <si>
    <t>N-883</t>
  </si>
  <si>
    <t>Sutton, New Radiocarbon dates for Eastern and Southern Africa, Journal of African History, 1972</t>
  </si>
  <si>
    <t xml:space="preserve">https://www.cambridge.org/core/journals/journal-of-african-history/article/new-radiocarbon-dates-for-eastern-and-southern-africa/141E1E0F1EEECBCFCBD22432B197CCBD </t>
  </si>
  <si>
    <t>"Mwika IV in the Kilimanjaro
foothills provided a single date (N-883) in the early part of the first
millennium A.D. This agrees well with other dates for Kwale ware,
but whether it is a true indication of the normal age of Maore ware
remains to be seen."</t>
  </si>
  <si>
    <t>Yamasaki, Riken Natural Radiocarbon Measurements VII, Radiocarbon, 1972</t>
  </si>
  <si>
    <t xml:space="preserve">https://www.cambridge.org/core/journals/radiocarbon/article/riken-natural-radiocarbon-measurements-vii/30754EE716DD08987654706E85F6596E </t>
  </si>
  <si>
    <t xml:space="preserve">Fagan, Radiocarbon dates for sub-Saharan Africa VI, Journal of African History, 1969 </t>
  </si>
  <si>
    <t xml:space="preserve">https://www.cambridge.org/core/journals/journal-of-african-history/article/radiocarbon-dates-for-subsaharan-africa-vi/761DEFDD494FDAB6CCA5D3D89212117E </t>
  </si>
  <si>
    <t>"UCLA-1237 probably comes from below the Iron Age pottery horizon"</t>
  </si>
  <si>
    <t>"UCLA-1238 reflects the observed late persistence of the ceramic ware
in the general Mbande Hill tradition"</t>
  </si>
  <si>
    <t>Chaminade</t>
  </si>
  <si>
    <t>UCLA-1238</t>
  </si>
  <si>
    <t>UCLA-1237</t>
  </si>
  <si>
    <t>N-409</t>
  </si>
  <si>
    <t>N-410</t>
  </si>
  <si>
    <t>N-411</t>
  </si>
  <si>
    <t>N-412</t>
  </si>
  <si>
    <t>N-413</t>
  </si>
  <si>
    <t>N-414</t>
  </si>
  <si>
    <t>Kumadzulo</t>
  </si>
  <si>
    <t>While we excluded the date Russell used in her analysis (N-408) as dating some natural phenomenon, the other dates in this series are valid. Include this in the discussion of specific dates in my Supplementary material. "The village at Kumadzulo is a well preserved occupation site of the Early
Iron Age in Southern Zambia. Although typologically not the earliest manifestation along the periphery of the Zambezi Valley, the ceramics from Kumadzulo
appear to retain some characteristics of the Channel-decorated tradition and would
slightly pre-date the ceramic assemblage at Dambwa (Lists IV and V). If the
series of dates is taken as representative of the occupation, they give an average
of early seventh century."</t>
  </si>
  <si>
    <t>Chowo River</t>
  </si>
  <si>
    <t>Barham, New Radiocarbon Dates for the Early Iron Age in
the Luangwa Valley, Eastern Zambia, Azania, 2005</t>
  </si>
  <si>
    <t xml:space="preserve">https://www.tandfonline.com/doi/pdf/10.1080/00672700509480417 </t>
  </si>
  <si>
    <t>Beta-182951</t>
  </si>
  <si>
    <t>Beta-182952</t>
  </si>
  <si>
    <t>Beta-182953</t>
  </si>
  <si>
    <t>Beta-182954</t>
  </si>
  <si>
    <t>Beta-182955</t>
  </si>
  <si>
    <t>Beta-182956</t>
  </si>
  <si>
    <t>Beta-182957</t>
  </si>
  <si>
    <t>Langubhela I</t>
  </si>
  <si>
    <t>Swaziland</t>
  </si>
  <si>
    <t>https://www.cambridge.org/core/journals/radiocarbon/article/pretoria-radiocarbon-dates-iii/469F44D9DB5C543B6285300463751FF4</t>
  </si>
  <si>
    <t>Vogel, Pretoria Radiocarbon Dates III, Radiocarbon, 1986</t>
  </si>
  <si>
    <t>Pta-3346</t>
  </si>
  <si>
    <t>"Charcoal from Sq J 10 at 54 to 65cm depth assoc with Iron Age"</t>
  </si>
  <si>
    <t>GX-109</t>
  </si>
  <si>
    <t>Fagan, Sebanzi: The Iron Age Sequence at Lochinvar, and the Tonga, The Journal of the Royal Anthropological Institute of Great Britain and Ireland, 1965</t>
  </si>
  <si>
    <t xml:space="preserve">https://www.jstor.org/stable/2844428 </t>
  </si>
  <si>
    <t>Russell 2018</t>
  </si>
  <si>
    <t>EIA</t>
  </si>
  <si>
    <t>Mozambique</t>
  </si>
  <si>
    <t>Riane Rock-shelter</t>
  </si>
  <si>
    <t>"an upper level with EIA pottery
sherds, an iron fragment and charcoal that was radiocarbon dated"</t>
  </si>
  <si>
    <t>ICEN-133</t>
  </si>
  <si>
    <t>Malessane</t>
  </si>
  <si>
    <t>"The abundant presence of what was to be characterized as EIA pottery sherds. Besides the
pottery, also iron slag and charcoal were recovered"</t>
  </si>
  <si>
    <t>ICEN-132</t>
  </si>
  <si>
    <t xml:space="preserve">Carlos Senna-Martinez, Early Iron Age Spread into Northern Mozambique, University of Lisbon, 2013 </t>
  </si>
  <si>
    <t xml:space="preserve">https://repositorio.ul.pt/handle/10451/9791 </t>
  </si>
  <si>
    <t>Lumbi</t>
  </si>
  <si>
    <t xml:space="preserve">charcoal </t>
  </si>
  <si>
    <t>Ua-40070</t>
  </si>
  <si>
    <t>Ua-40071</t>
  </si>
  <si>
    <t>"The presence of hunter-gatherer
communities and EFC reveals a potentially complex situation of interaction and
transformation. "</t>
  </si>
  <si>
    <t>Hilario Madiquida, Archaeological and Historical Reconstructions of the Foraging and Farming Communities of the Lower Zambezi: From the mid-Holocene to the second Millennium AD, Uppsala 2015</t>
  </si>
  <si>
    <t xml:space="preserve">https://www.diva-portal.org/smash/record.jsf?pid=diva2%3A862495&amp;dswid=-6526 </t>
  </si>
  <si>
    <t>SR-209</t>
  </si>
  <si>
    <t>Mitongwe-Liwadzi</t>
  </si>
  <si>
    <t>"One of these, from the Mitongwe-Liwadzi confluence, is for Nkope
 ware, a local Early Iron Age variety. The determination (SR-209) in the
 early first millennium A.D. compares quite well with those for the type
 site"</t>
  </si>
  <si>
    <t>SR-229</t>
  </si>
  <si>
    <t>"In the southern
Lake area a date of second/third century A.D. (SR-226) from the Mitongwe/
Liwadzi confluence supports SR-209 quoted by Sutton32
 from the same
site"</t>
  </si>
  <si>
    <t>Soper, New Radiocarbon dates for eastern and southern africa, Journal of African History, 1974</t>
  </si>
  <si>
    <t xml:space="preserve">https://www.cambridge.org/core/journals/journal-of-african-history/article/new-radiocarbon-dates-for-eastern-and-southern-africa/23592DD5A0BBA1171C9D4A31EB85319D </t>
  </si>
  <si>
    <t>Kamukombe</t>
  </si>
  <si>
    <t>Pta-9642</t>
  </si>
  <si>
    <t>"The ceramics in Level 3 of Trench 3, from which Sample 6 was collected, were entirely of the Kadzi EFC. The profile of the stratigraphy of this trench corresponds with that appearing on the eroding northern bank of the Musengezi River, a few metres from the trench. There is no indication that there might have been disturbance to the stratigraphy."</t>
  </si>
  <si>
    <t xml:space="preserve">https://ebookcentral.proquest.com/lib/cam/reader.action?docID=4865484 </t>
  </si>
  <si>
    <t>Manyanga and Chirikure, Archives, Objects, Places and Landscapes : Multidisciplinary Approaches to Decolonised Zimbabwean Pasts, 2017 -- see Chapter 6: Chronology of Early Farming Communities in northern Zimbabwe</t>
  </si>
  <si>
    <t>Pta-9638</t>
  </si>
  <si>
    <t>Pta-9641</t>
  </si>
  <si>
    <t>"Also recovered in this level is a small collection of faunal remains of Francolinus pondicerianus and Rattus species. In addition, a piece of bone worked to a point was collected from this layer, together with very fragile rib bones, the species of which could not be determined. A single shell bead was recovered in the general area, from where the third charcoal sample (Sample 3) was collected. The associated ceramics are typically Kadzi with comb-stamped decorations on thickened rims."</t>
  </si>
  <si>
    <t>See Pwiti 'Continuity and Change' for grid ref</t>
  </si>
  <si>
    <t>.</t>
  </si>
  <si>
    <t>Ua-3194</t>
  </si>
  <si>
    <t>Ua-4107</t>
  </si>
  <si>
    <t>Ua-3195</t>
  </si>
  <si>
    <t>Ua-4104</t>
  </si>
  <si>
    <t>Ua-4105</t>
  </si>
  <si>
    <t>Ua-4106</t>
  </si>
  <si>
    <t>Kadzi</t>
  </si>
  <si>
    <t>"Kadzi ceramics have the typical EFC affinities of thick profiles with out-turned lips and are often decorated on the lips and rims with a comb-stamping technique, the motifs usually being aligned horizontally or vertically (Soper 2006). Such ceramics have been recorded at Kamukombe, and have been found on the surface at other sites such as Chigu, also in the mid-Zambezi valley (Pwiti 1996). The Musengezi culture has ceramics that are generally decorated with wrapped fibre impressions that were executed mainly on the rim and on the neck or neck shoulder regions of the vessels (Pikirayi 1987, 1996; Soper 2006). Most of the Musengezi sherds have been recovered in burial contexts, although Kadzi and Kamukombe sites are open settlements located along river banks (Katsamudanga &amp; Pwiti 2006)."</t>
  </si>
  <si>
    <t>"A wide range of animal species were recovered from this level which include Bov I to III size ranges such as kudu ( Tragelaphus strepsiceros ), hares ( Lagomorpha sp. ), sheep/goats ( ovis/capra ), birds ( Aves, e.g. Francolinus pondicerianus ), and fish ( Clarias sp .) (Katsamudanga &amp; Pwiti 2007). In terms of ceramics, it is in this level that the transitory phase ceramics were recorded. A possible evolution from Kadzi to Musengezi."</t>
  </si>
  <si>
    <t>Pta-9643</t>
  </si>
  <si>
    <t>See also: Early Iron Age Buffalo Hunters on the Kadzi River, Zimbabwe, Ina Plug, African Arcaheological Review 1997</t>
  </si>
  <si>
    <t>See also: Early Iron Age Buffalo Hunters on the Kadzi River, Zimbabwe, Ina Plug, African Arcaheological Review 1998</t>
  </si>
  <si>
    <t>See also: Early Iron Age Buffalo Hunters on the Kadzi River, Zimbabwe, Ina Plug, African Arcaheological Review 1999</t>
  </si>
  <si>
    <t>See also: Early Iron Age Buffalo Hunters on the Kadzi River, Zimbabwe, Ina Plug, African Arcaheological Review 2000</t>
  </si>
  <si>
    <t>See also: Early Iron Age Buffalo Hunters on the Kadzi River, Zimbabwe, Ina Plug, African Arcaheological Review 2001</t>
  </si>
  <si>
    <t>See also: Early Iron Age Buffalo Hunters on the Kadzi River, Zimbabwe, Ina Plug, African Arcaheological Review 2002</t>
  </si>
  <si>
    <t>Also, see: https://dialnet.unirioja.es/servlet/articulo?codigo=2090339  (for location)</t>
  </si>
  <si>
    <t>Maunatlala</t>
  </si>
  <si>
    <t>Denbow, A new look at the later prehistory of the Kalahari, Journal of African History, 1986</t>
  </si>
  <si>
    <t xml:space="preserve">https://www.cambridge.org/core/journals/journal-of-african-history/article/new-look-at-the-later-prehistory-of-the-kalahari/8B19240305EC8170BD42F7C7BC625911 </t>
  </si>
  <si>
    <t>I-13803</t>
  </si>
  <si>
    <t>"A radiocarbon date of A.D. 380 + 140 obtained from one of the burned structures at Maunatlala falls well within
 the range of these two sites. Carbonized cucurbit seeds recovered from one
 structure at Maunatlala may provide evidence for agriculture." Also see: https://www.sciencedirect.com/science/article/pii/104061829500095X for the radiocarbon labID. Location approximated from map.</t>
  </si>
  <si>
    <t>Botswana</t>
  </si>
  <si>
    <t>KIA28852</t>
  </si>
  <si>
    <t>LIA</t>
  </si>
  <si>
    <t>Poz-20700</t>
  </si>
  <si>
    <t>Poz-20698</t>
  </si>
  <si>
    <t>KIA28850</t>
  </si>
  <si>
    <t>Poz-20697</t>
  </si>
  <si>
    <t>Poz-20695</t>
  </si>
  <si>
    <t>KIA28853</t>
  </si>
  <si>
    <t>Poz-20696</t>
  </si>
  <si>
    <t>KIA28854</t>
  </si>
  <si>
    <t>Poz-20676</t>
  </si>
  <si>
    <t>Poz-20675</t>
  </si>
  <si>
    <t>Poz-20674</t>
  </si>
  <si>
    <t>Kose, Early And Late Ironworking Groups Along
The Middle Kavango River In Northern
Namibia, 206</t>
  </si>
  <si>
    <t>Kose, Early And Late Ironworking Groups Along
The Middle Kavango River In Northern
Namibia, 207</t>
  </si>
  <si>
    <t>Kose, Early And Late Ironworking Groups Along
The Middle Kavango River In Northern
Namibia, 208</t>
  </si>
  <si>
    <t>Kose, Early And Late Ironworking Groups Along
The Middle Kavango River In Northern
Namibia, 209</t>
  </si>
  <si>
    <t>Kose, Early And Late Ironworking Groups Along
The Middle Kavango River In Northern
Namibia, 210</t>
  </si>
  <si>
    <t>Kose, Early And Late Ironworking Groups Along
The Middle Kavango River In Northern
Namibia, 211</t>
  </si>
  <si>
    <t>Kose, Early And Late Ironworking Groups Along
The Middle Kavango River In Northern
Namibia, 212</t>
  </si>
  <si>
    <t>Kose, Early And Late Ironworking Groups Along
The Middle Kavango River In Northern
Namibia, 213</t>
  </si>
  <si>
    <t>Kose, Early And Late Ironworking Groups Along
The Middle Kavango River In Northern
Namibia, 214</t>
  </si>
  <si>
    <t>Kose, Early And Late Ironworking Groups Along
The Middle Kavango River In Northern
Namibia, 215</t>
  </si>
  <si>
    <t>Kose, Early And Late Ironworking Groups Along
The Middle Kavango River In Northern
Namibia, 216</t>
  </si>
  <si>
    <t>Kose, Early And Late Ironworking Groups Along
The Middle Kavango River In Northern
Namibia, 217</t>
  </si>
  <si>
    <t xml:space="preserve">https://kups.ub.uni-koeln.de/10885/ </t>
  </si>
  <si>
    <t>COL#2332.1.1</t>
  </si>
  <si>
    <t>Poz-20679</t>
  </si>
  <si>
    <t>Poz-20680</t>
  </si>
  <si>
    <t>Poz-20682</t>
  </si>
  <si>
    <t>Poz-20694</t>
  </si>
  <si>
    <t>Ruuga 2</t>
  </si>
  <si>
    <t>"Charcoal
extracted
from slag,
10-30 cm
below the
surface. Kose, 2009" Subcluster: N98/39-2</t>
  </si>
  <si>
    <t>"Charcoal
extracted
from slag,
surface
collection" Subcluster: N98/39-2</t>
  </si>
  <si>
    <t>"Charcoal
extracted
from slag,
surface
collection. Kose, 2009" Subcluster: N98/39-2</t>
  </si>
  <si>
    <t>"Charcoal
extracted
from slag,
45-55 cm
below the
surface. Kose, 2009" Subcluster: N98/39-2</t>
  </si>
  <si>
    <t>"Charcoal
extracted
from
pottery,
65 cm
below the
surface" Subcluster: N98/39-2</t>
  </si>
  <si>
    <t>"Charcoal
extracted
from
pottery,
55 cm
below the
surface" Subcluster: N98/39-2</t>
  </si>
  <si>
    <t>"Charcoal
extracted
from
pottery,
50 cm
below the
surface. Kose 2009" Subcluster: N98/39-2</t>
  </si>
  <si>
    <t>"Charcoal
extracted
from
pottery,
55-60 cm
below the
surface" Subcluster: N98/39-2</t>
  </si>
  <si>
    <t>"Charcoal
extracted
from
tuyere,
55 cm
below the
surface. The carburized organic
sample taken from one tuyere fragment
found in unit 51/54c, 55 cm below the surface,
dated the metallurgical activities as far back
as the fifth to the mid-sixth century cal AD" Subcluster: N98/39-2</t>
  </si>
  <si>
    <t>"Charcoal
extracted
from
pottery,
67 cm
below the
surface" Subcluster: N98/39-2</t>
  </si>
  <si>
    <t>"Charcoal
extracted
from
pottery,
60 cm
below the
surface" Subcluster: N98/39-2</t>
  </si>
  <si>
    <t>"Charcoal
extracted
from
pottery,
27 cm
below the
surface" Subcluster: N98/39-2</t>
  </si>
  <si>
    <t>"Charcoal
extracted
from
pottery,
85 cm
below the
surface. Kose 2009" Subcluster: N98/39-2</t>
  </si>
  <si>
    <t>"the dates were in chronological
order with the oldest being the deepest sample
(Poz-20668), and the youngest (Poz-20682) being
the uppermost, backing up the assumption that
the early occupation horizon of Kapako was
well preserved and undisturbed. Carburized
frusa,
collected
from
sediment,
60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</si>
  <si>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</si>
  <si>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Kose 2009" Subcluster: N99/21-3</t>
  </si>
  <si>
    <t>carburized frusa</t>
  </si>
  <si>
    <t>"The late first millennium date (Pta-234) for Kapako is interesting, since the pottery may possibly be related to Early Iron Age wares in territories to the east and north-east, as already noted. Also, note "Pottery which possibly has resemblances to
 Kapwirimbe ware, one of the 'channelled' group of Zambia. But this
 identification, it must be stressed, is not yet confirmed" Subcluster: N68/02. Exact location: (lat:-17.8774, long:19.565). Also see Kose PhD thesis</t>
  </si>
  <si>
    <t xml:space="preserve">Pottery occurred which is probably related to that of the present-day Bantu-speaking people in the region, as well as beads, both of ostrich-eggshell and of glass. "a charcoal concentration in a pit" See Kose PhD thesis too. </t>
  </si>
  <si>
    <t>Poz-20699</t>
  </si>
  <si>
    <t>Poz-20671</t>
  </si>
  <si>
    <t>Poz-20702</t>
  </si>
  <si>
    <r>
      <t xml:space="preserve">" charcoal extracted from slag blocks. Charcoal
extracted
from a
SHB,
eroding out
north of
excavation
area
N98/32. Kose 2009 </t>
    </r>
    <r>
      <rPr>
        <b/>
        <sz val="11"/>
        <color theme="1"/>
        <rFont val="Calibri"/>
        <family val="2"/>
        <scheme val="minor"/>
      </rPr>
      <t xml:space="preserve">" </t>
    </r>
    <r>
      <rPr>
        <sz val="11"/>
        <color theme="1"/>
        <rFont val="Calibri"/>
        <family val="2"/>
        <scheme val="minor"/>
      </rPr>
      <t>"Excluded: KN-5313, KN-5329, KN-5643, KN-5191, KN-5330. The younger dates were not very significant. charcoals taken from the sediment must be interpreted with care, because they may well be contaminated by fire clearing of the area after the settlement was abandoned, or by modern fireplaces that people maintained while fishing. The dated bone samples were also uncertain because collagen was only poorly preserved despite the young age of the samples. Moreover, bone material frequently incorporates humic acids from the environment, which may distort the radiocarbon age of the samples"</t>
    </r>
  </si>
  <si>
    <t>" charcoal extracted from slag blocks. Charcoal
extracted
from a
block of
smelting
slag,
surface
collection
around
N69/01-1. Kose, 2009"</t>
  </si>
  <si>
    <t>"Charcoal
extracted
from
pottery,
 25 cm
below the
surface. Kose, 2009"</t>
  </si>
  <si>
    <t>Gove-Mbambangandu</t>
  </si>
  <si>
    <t>"produced
from charcoal extracted from two well
stratified decorated vessel fragments". Sample COL#2331.1.1 excluded due to old wood problem</t>
  </si>
  <si>
    <t>COL#2330.1.1</t>
  </si>
  <si>
    <t>Nyangana-Kangwenu</t>
  </si>
  <si>
    <t>"Charcoal
from
sediment,
Layer B,
45 cm
below the
surface. Richter, 2005. there is no satisfactory resolution possible with
respect to the age of the site. "</t>
  </si>
  <si>
    <t>KN-5377</t>
  </si>
  <si>
    <t>KN-5376</t>
  </si>
  <si>
    <t>"Charcoal
from
sediment,
Layer C,
55-65 cm
below the
surface. Richter, 2005. there is no satisfactory resolution possible with
respect to the age of the site. "</t>
  </si>
  <si>
    <t>Poz-20703</t>
  </si>
  <si>
    <t>"Pta-235 produced a
radiocarbon age of 120±20 years BP, while
Poz-20703 resulted in 320±30 years BP. Both
samples can be assigned to one and the same
smelting or refining event, because the first came
from the charcoal bed in which slag block
4438/06 solidified"</t>
  </si>
  <si>
    <t>Kamutjonga</t>
  </si>
  <si>
    <t>Pta-3758</t>
  </si>
  <si>
    <t>bone</t>
  </si>
  <si>
    <t>Pta-3745</t>
  </si>
  <si>
    <t>"Both samples were not very significant as they fell
into the calibration plateau between 1650 and
1950 AD."</t>
  </si>
  <si>
    <t>KN-5375</t>
  </si>
  <si>
    <t>"Charcoal
from
sediment,
Layer A,
30 cm below
the surface. Richter, 2005"</t>
  </si>
  <si>
    <t>KN-5190</t>
  </si>
  <si>
    <t>Rundu Immigration Office</t>
  </si>
  <si>
    <t>" A charcoal sample was
collected from a horizon between 30 and 50 cm
below the surface. Rcihter 2005"</t>
  </si>
  <si>
    <t>Nkope Hill</t>
  </si>
  <si>
    <t>Sheppard, Rhodesian Radiocarbon Measurements IV, Radiocarbon, 1971</t>
  </si>
  <si>
    <t xml:space="preserve">https://www.cambridge.org/core/journals/radiocarbon/article/rhodesian-radiocarbon-measurements-iv/B0EAE0D1B9B9B543CDE517F02495B5C9 </t>
  </si>
  <si>
    <t>"date is average for Early Iron age stratum at site."</t>
  </si>
  <si>
    <t>Mawudzu Hill</t>
  </si>
  <si>
    <t>"sample is from Iron age site, being investigated in N Malawi in an effort to confirm work done in
1965-66. "</t>
  </si>
  <si>
    <t>ST-9021</t>
  </si>
  <si>
    <t>Sinclair, Archaeology in Eastern Africa: an overview of current chronological issues, Journal of African History, 1991</t>
  </si>
  <si>
    <t xml:space="preserve">https://www.cambridge.org/core/journals/journal-of-african-history/article/archaeology-in-eastern-africa-an-overview-of-current-chronological-issues/5E374A8070A33D72EA4A569227347E02 </t>
  </si>
  <si>
    <t>Davison, Namaso: A newly-defined cultural entity of the late first millennium AD, and its place in the Iron Age sequence of southern Malawi, Azania, 1991</t>
  </si>
  <si>
    <t xml:space="preserve">https://www.tandfonline.com/doi/abs/10.1080/00672709109511424 </t>
  </si>
  <si>
    <t>GX-14812</t>
  </si>
  <si>
    <t>Namaso Bay</t>
  </si>
  <si>
    <t>GX-14811</t>
  </si>
  <si>
    <t>GX-14813</t>
  </si>
  <si>
    <t>Mills, Chondwe Iron Age Site, Azania 1972</t>
  </si>
  <si>
    <t xml:space="preserve">https://www.tandfonline.com/doi/abs/10.1080/00672707209511559 </t>
  </si>
  <si>
    <t>Chondwe</t>
  </si>
  <si>
    <t>N-998</t>
  </si>
  <si>
    <t>N-997</t>
  </si>
  <si>
    <t>GX-1009</t>
  </si>
  <si>
    <t>GX-1010</t>
  </si>
  <si>
    <t>Dambwa</t>
  </si>
  <si>
    <t>SR-174</t>
  </si>
  <si>
    <t>SR-178</t>
  </si>
  <si>
    <t>SR-106</t>
  </si>
  <si>
    <t>SR-62</t>
  </si>
  <si>
    <t>SR-97</t>
  </si>
  <si>
    <t>SR-98</t>
  </si>
  <si>
    <t>SR-96</t>
  </si>
  <si>
    <t>SR-110</t>
  </si>
  <si>
    <t>"The radiocarbon dates demonstrate fairly conclusively that this occupation took place during the 7th and 8th centuries A.D." See reference for economic and sociological discussion for site.</t>
  </si>
  <si>
    <t>Fagan, Iron Age cultures in Zambia: Dambwa, Ingombe Ilede and the Tongo, Chatoo and Windus, 1969</t>
  </si>
  <si>
    <t>Book. Haddon Library, Ref: OZR ZAD XBX S 28D</t>
  </si>
  <si>
    <t>Ingombe Ilede</t>
  </si>
  <si>
    <t xml:space="preserve">SR-22 </t>
  </si>
  <si>
    <t>SR-23</t>
  </si>
  <si>
    <t>Q-720</t>
  </si>
  <si>
    <t>R-908</t>
  </si>
  <si>
    <t>Kalundu</t>
  </si>
  <si>
    <t>Fagan, Iron Age cultures in Zambia: Kalomo and Kangila, Chatto and Windus, 1967</t>
  </si>
  <si>
    <t>SR-74</t>
  </si>
  <si>
    <t>SR-66</t>
  </si>
  <si>
    <t>SR-65</t>
  </si>
  <si>
    <t>SR-41</t>
  </si>
  <si>
    <t>SR-123</t>
  </si>
  <si>
    <t>SR-139</t>
  </si>
  <si>
    <t>WK-47137</t>
  </si>
  <si>
    <t>Goldstein, Revisiting Kalundu Mound, Zambia: Implications for the Timing of Social and Subsistence Transitions in Iron Age Southern Africa, African Arcaheological Review, 2021</t>
  </si>
  <si>
    <t xml:space="preserve">https://link.springer.com/article/10.1007/s10437-021-09440-y </t>
  </si>
  <si>
    <t>WK-47773</t>
  </si>
  <si>
    <t>macrobontanical</t>
  </si>
  <si>
    <t>WK-47139</t>
  </si>
  <si>
    <t>WK-47142</t>
  </si>
  <si>
    <t>WK-47775</t>
  </si>
  <si>
    <t>WK-47774</t>
  </si>
  <si>
    <t>Additional date UCLA-723 is excluded due to likely distrubance.</t>
  </si>
  <si>
    <t>SR-86</t>
  </si>
  <si>
    <t>SR-42</t>
  </si>
  <si>
    <t>Kangila</t>
  </si>
  <si>
    <t>Also see: Derricourt, The Chronology of Zambian Prehistory, Transafrican Journal of History, 1976</t>
  </si>
  <si>
    <t>Sebanzi Hill, Lochinvar</t>
  </si>
  <si>
    <t>Fagan, The Iron Age Sequence at Lochinvar, and the Tonga, Journal of the Royal Anthropological Institute of Great Britain and Ireland, 1965</t>
  </si>
  <si>
    <t>GX-1331</t>
  </si>
  <si>
    <t>GX-1330</t>
  </si>
  <si>
    <t>Gundu</t>
  </si>
  <si>
    <t>Huffman, Iron Age Migrations, Witwatersrand University Press, 1989</t>
  </si>
  <si>
    <t>Book. Haddon Library, Ref: OZR ZAD XKB DK 28N</t>
  </si>
  <si>
    <t>GX-1114</t>
  </si>
  <si>
    <t>GX-1115</t>
  </si>
  <si>
    <t>N-430</t>
  </si>
  <si>
    <t>N-427</t>
  </si>
  <si>
    <t>UCLA-1632A</t>
  </si>
  <si>
    <t>N-428</t>
  </si>
  <si>
    <t>N-429</t>
  </si>
  <si>
    <t>carbonized nuts</t>
  </si>
  <si>
    <t>"Kalundu component." Also see: Derricourt, The Chronology of Zambian Prehistory, Transafrican Journal of History, 1976</t>
  </si>
  <si>
    <t xml:space="preserve"> Also see: Derricourt, The Chronology of Zambian Prehistory, Transafrican Journal of History, 1976</t>
  </si>
  <si>
    <t>"Kalomo component"  Also see: Derricourt, The Chronology of Zambian Prehistory, Transafrican Journal of History, 1976</t>
  </si>
  <si>
    <t>"Gundu component. Also found: two shell beads and one carbonised Parinari nut"  Also see: Derricourt, The Chronology of Zambian Prehistory, Transafrican Journal of History, 1976</t>
  </si>
  <si>
    <t xml:space="preserve"> Also see: Derricourt, The Chronology of Zambian Prehistory, Transafrican Journal of History, 1976 and Yamasaki, Riken Natural Radiocarbon Measurements V, Radiocarbon, 1969 ("Charcoal assoc. with grooved ware near bedrock.")</t>
  </si>
  <si>
    <t>SR-226</t>
  </si>
  <si>
    <t>Mitongwe-Luwadzi</t>
  </si>
  <si>
    <t>Sheppard, Rhodesian Radiocarbon Measurements V, Radiocarbon, 1972</t>
  </si>
  <si>
    <t xml:space="preserve">https://www.cambridge.org/core/journals/radiocarbon/article/rhodesian-radiocarbon-measurements-v/B33B5DE78FB0FCC2869EA67196EA1A96 </t>
  </si>
  <si>
    <t>"Charcoal in compacted light brown earth with bone fragments at
depth 122cm"</t>
  </si>
  <si>
    <t>Matobo</t>
  </si>
  <si>
    <t>N-597</t>
  </si>
  <si>
    <t>N-596</t>
  </si>
  <si>
    <t xml:space="preserve">Also see: Phillipson, Notes on the Later Prehistoric Radiocarbon Chronology of Eastern and Southern Africa, Journal of African History, 1970 "Charcoal samples from the substantial remains of a pole and daga hut
have been dated to the eighth to tenth centuries (N-597, N-596). Analysis
of the finds from Matobo is expected to throw light on the transition
between the Kalundu group Early Iron Age and the Kalomo culture". Also for location: https://link.springer.com/chapter/10.1007/978-3-031-20290-2_79 </t>
  </si>
  <si>
    <t>Quoted in some places as SR-80</t>
  </si>
  <si>
    <r>
      <t xml:space="preserve">" This sample comes from a depth of 54 inches in the Iron Age d on Sebanzi Hill, Lochinvar Ranch. Potsherds from this site can  pared to the Kangila ware of the northern Batoka Plateau." See also: </t>
    </r>
    <r>
      <rPr>
        <i/>
        <sz val="11"/>
        <color theme="1"/>
        <rFont val="Calibri"/>
        <family val="2"/>
        <scheme val="minor"/>
      </rPr>
      <t>African Farmers, Not Stone Age Foragers: Reassessment of Human Remains from the Mumbwa Caves, Zambia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</si>
</sst>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7C8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5"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1" fillId="0" borderId="0" xfId="0" applyFont="1"/>
    <xf numFmtId="0" fontId="2" fillId="0" borderId="0" xfId="1" applyAlignment="1"/>
    <xf numFmtId="0" fontId="0" fillId="2" borderId="0" xfId="0" applyFill="1"/>
    <xf numFmtId="0" fontId="2" fillId="2" borderId="0" xfId="1" applyFill="1" applyAlignment="1"/>
    <xf numFmtId="0" fontId="0" fillId="3" borderId="0" xfId="0" applyFill="1"/>
    <xf numFmtId="0" fontId="0" fillId="4" borderId="0" xfId="0" applyFill="1"/>
    <xf numFmtId="0" fontId="2" fillId="0" borderId="0" xfId="1"/>
    <xf numFmtId="0" fontId="2" fillId="0" borderId="0" xfId="1" applyFill="1" applyAlignment="1"/>
    <xf numFmtId="0" fontId="2" fillId="2" borderId="0" xfId="1" applyFill="1"/>
    <xf numFmtId="0" fontId="0" fillId="5" borderId="0" xfId="0" applyFill="1"/>
    <xf numFmtId="0" fontId="2" fillId="0" borderId="0" xfId="1" applyFill="1"/>
    <xf numFmtId="0" fontId="0" fillId="0" borderId="0" xfId="0" applyAlignment="1">
      <alignment horizontal="left"/>
    </xf>
    <xf numFmtId="0" fontId="5" fillId="0" borderId="0" xfId="0" applyFont="1"/>
    <xf numFmtId="0" fontId="5" fillId="6" borderId="0" xfId="0" applyFont="1" applyFill="1"/>
    <xf numFmtId="0" fontId="0" fillId="6" borderId="0" xfId="0" applyFill="1"/>
    <xf numFmtId="0" fontId="0" fillId="0" borderId="0" xfId="0" applyFill="1"/>
    <xf numFmtId="0" fontId="0" fillId="0" borderId="0" xfId="0" applyAlignment="1"/>
  </cellXfs>
  <cellStyles count="2">
    <cellStyle name="Hyperlink" xfId="1" builtinId="8"/>
    <cellStyle name="Normal" xfId="0" builtinId="0"/>
  </cellStyles>
  <dxfs count="0"/>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jstor.org/stable/181297" TargetMode="External"/><Relationship Id="rId21" Type="http://schemas.openxmlformats.org/officeDocument/2006/relationships/hyperlink" Target="https://www.jstor.org/stable/180964" TargetMode="External"/><Relationship Id="rId42" Type="http://schemas.openxmlformats.org/officeDocument/2006/relationships/hyperlink" Target="https://www.jstor.org/stable/24520285" TargetMode="External"/><Relationship Id="rId63" Type="http://schemas.openxmlformats.org/officeDocument/2006/relationships/hyperlink" Target="https://www.jstor.org/stable/pdf/24520285.pdf" TargetMode="External"/><Relationship Id="rId8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8" Type="http://schemas.openxmlformats.org/officeDocument/2006/relationships/hyperlink" Target="https://www.cambridge.org/core/journals/radiocarbon/article/pretoria-radiocarbon-dates-iii/469F44D9DB5C543B6285300463751FF4" TargetMode="External"/><Relationship Id="rId159" Type="http://schemas.openxmlformats.org/officeDocument/2006/relationships/hyperlink" Target="https://kups.ub.uni-koeln.de/10885/" TargetMode="External"/><Relationship Id="rId170" Type="http://schemas.openxmlformats.org/officeDocument/2006/relationships/hyperlink" Target="https://kups.ub.uni-koeln.de/10885/" TargetMode="External"/><Relationship Id="rId191" Type="http://schemas.openxmlformats.org/officeDocument/2006/relationships/hyperlink" Target="https://link.springer.com/article/10.1007/s10437-021-09440-y" TargetMode="External"/><Relationship Id="rId107" Type="http://schemas.openxmlformats.org/officeDocument/2006/relationships/hyperlink" Target="https://www.cambridge.org/core/journals/journal-of-african-history/article/archaeology-in-eastern-africa-recent-developments-and-more-dates1/24BC2862EAA2CFB48AF4CF509DF89564" TargetMode="External"/><Relationship Id="rId11" Type="http://schemas.openxmlformats.org/officeDocument/2006/relationships/hyperlink" Target="https://www.jstor.org/stable/181297" TargetMode="External"/><Relationship Id="rId32" Type="http://schemas.openxmlformats.org/officeDocument/2006/relationships/hyperlink" Target="https://www.cambridge.org/core/journals/journal-of-african-history/article/radiocarbon-dates-for-subsaharan-africa-from-c-1000-bciii/8BA42138F4602DFE0ABBAB3DE337AF97" TargetMode="External"/><Relationship Id="rId53" Type="http://schemas.openxmlformats.org/officeDocument/2006/relationships/hyperlink" Target="https://www.jstor.org/stable/pdf/24520285.pdf"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radiocarbon-dates-for-subsaharan-africa-vi/761DEFDD494FDAB6CCA5D3D89212117E" TargetMode="External"/><Relationship Id="rId149" Type="http://schemas.openxmlformats.org/officeDocument/2006/relationships/hyperlink" Target="https://kups.ub.uni-koeln.de/10885/" TargetMode="External"/><Relationship Id="rId5" Type="http://schemas.openxmlformats.org/officeDocument/2006/relationships/hyperlink" Target="https://www.cambridge.org/core/journals/radiocarbon/article/ucla-radiocarbon-dates-iv/C02AA1800F2DADDFFAF23A559825B841" TargetMode="External"/><Relationship Id="rId95" Type="http://schemas.openxmlformats.org/officeDocument/2006/relationships/hyperlink" Target="https://www.cambridge.org/core/journals/radiocarbon/article/riken-natural-radiocarbon-measurements-viii/09004EA1B98B383286599B3B6C414027" TargetMode="External"/><Relationship Id="rId160" Type="http://schemas.openxmlformats.org/officeDocument/2006/relationships/hyperlink" Target="https://kups.ub.uni-koeln.de/10885/" TargetMode="External"/><Relationship Id="rId181" Type="http://schemas.openxmlformats.org/officeDocument/2006/relationships/hyperlink" Target="https://www.tandfonline.com/doi/abs/10.1080/00672707209511559" TargetMode="External"/><Relationship Id="rId22" Type="http://schemas.openxmlformats.org/officeDocument/2006/relationships/hyperlink" Target="https://www.jstor.org/stable/180964" TargetMode="External"/><Relationship Id="rId43" Type="http://schemas.openxmlformats.org/officeDocument/2006/relationships/hyperlink" Target="https://www.cambridge.org/core/journals/journal-of-african-history/article/radiocarbon-dates-for-subsaharan-africaiv/58A6CD02A3A05C3456F509A65D6B7BE3" TargetMode="External"/><Relationship Id="rId64" Type="http://schemas.openxmlformats.org/officeDocument/2006/relationships/hyperlink" Target="https://www.jstor.org/stable/pdf/24520285.pdf" TargetMode="External"/><Relationship Id="rId118" Type="http://schemas.openxmlformats.org/officeDocument/2006/relationships/hyperlink" Target="https://www.jstor.org/stable/181297" TargetMode="External"/><Relationship Id="rId139" Type="http://schemas.openxmlformats.org/officeDocument/2006/relationships/hyperlink" Target="https://www.jstor.org/stable/2844428" TargetMode="External"/><Relationship Id="rId8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0" Type="http://schemas.openxmlformats.org/officeDocument/2006/relationships/hyperlink" Target="https://kups.ub.uni-koeln.de/10885/" TargetMode="External"/><Relationship Id="rId171" Type="http://schemas.openxmlformats.org/officeDocument/2006/relationships/hyperlink" Target="https://kups.ub.uni-koeln.de/10885/" TargetMode="External"/><Relationship Id="rId192" Type="http://schemas.openxmlformats.org/officeDocument/2006/relationships/hyperlink" Target="https://link.springer.com/article/10.1007/s10437-021-09440-y" TargetMode="External"/><Relationship Id="rId12" Type="http://schemas.openxmlformats.org/officeDocument/2006/relationships/hyperlink" Target="https://www.jstor.org/stable/181297" TargetMode="External"/><Relationship Id="rId33" Type="http://schemas.openxmlformats.org/officeDocument/2006/relationships/hyperlink" Target="https://www.cambridge.org/core/journals/journal-of-african-history/article/radiocarbon-dates-for-subsaharan-africa-from-c-1000-bciii/8BA42138F4602DFE0ABBAB3DE337AF97" TargetMode="External"/><Relationship Id="rId108" Type="http://schemas.openxmlformats.org/officeDocument/2006/relationships/hyperlink" Target="https://www.cambridge.org/core/journals/journal-of-african-history/article/archaeology-in-eastern-africa-recent-developments-and-more-dates1/24BC2862EAA2CFB48AF4CF509DF89564" TargetMode="External"/><Relationship Id="rId129" Type="http://schemas.openxmlformats.org/officeDocument/2006/relationships/hyperlink" Target="https://www.cambridge.org/core/journals/journal-of-african-history/article/radiocarbon-dates-for-subsaharan-africa-vi/761DEFDD494FDAB6CCA5D3D89212117E" TargetMode="External"/><Relationship Id="rId54" Type="http://schemas.openxmlformats.org/officeDocument/2006/relationships/hyperlink" Target="https://www.jstor.org/stable/pdf/24520285.pdf" TargetMode="External"/><Relationship Id="rId75" Type="http://schemas.openxmlformats.org/officeDocument/2006/relationships/hyperlink" Target="https://www.jstor.org/stable/pdf/24520285.pdf" TargetMode="External"/><Relationship Id="rId96" Type="http://schemas.openxmlformats.org/officeDocument/2006/relationships/hyperlink" Target="https://www.cambridge.org/core/journals/radiocarbon/article/riken-natural-radiocarbon-measurements-viii/09004EA1B98B383286599B3B6C414027" TargetMode="External"/><Relationship Id="rId140" Type="http://schemas.openxmlformats.org/officeDocument/2006/relationships/hyperlink" Target="https://repositorio.ul.pt/handle/10451/9791" TargetMode="External"/><Relationship Id="rId161" Type="http://schemas.openxmlformats.org/officeDocument/2006/relationships/hyperlink" Target="https://kups.ub.uni-koeln.de/10885/" TargetMode="External"/><Relationship Id="rId182" Type="http://schemas.openxmlformats.org/officeDocument/2006/relationships/hyperlink" Target="https://www.tandfonline.com/doi/abs/10.1080/00672707209511559" TargetMode="External"/><Relationship Id="rId6" Type="http://schemas.openxmlformats.org/officeDocument/2006/relationships/hyperlink" Target="https://www.cambridge.org/core/journals/radiocarbon/article/ucla-radiocarbon-dates-iv/C02AA1800F2DADDFFAF23A559825B841" TargetMode="External"/><Relationship Id="rId23" Type="http://schemas.openxmlformats.org/officeDocument/2006/relationships/hyperlink" Target="https://www.jstor.org/stable/180964" TargetMode="External"/><Relationship Id="rId119" Type="http://schemas.openxmlformats.org/officeDocument/2006/relationships/hyperlink" Target="https://www.jstor.org/stable/181297" TargetMode="External"/><Relationship Id="rId44" Type="http://schemas.openxmlformats.org/officeDocument/2006/relationships/hyperlink" Target="https://www.cambridge.org/core/journals/journal-of-african-history/article/radiocarbon-dates-for-subsaharan-africaiv/58A6CD02A3A05C3456F509A65D6B7BE3" TargetMode="External"/><Relationship Id="rId65" Type="http://schemas.openxmlformats.org/officeDocument/2006/relationships/hyperlink" Target="https://www.jstor.org/stable/pdf/24520285.pdf" TargetMode="External"/><Relationship Id="rId8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0" Type="http://schemas.openxmlformats.org/officeDocument/2006/relationships/hyperlink" Target="https://www.cambridge.org/core/journals/journal-of-african-history/article/radiocarbon-dates-for-subsaharan-africa-vi/761DEFDD494FDAB6CCA5D3D89212117E" TargetMode="External"/><Relationship Id="rId151" Type="http://schemas.openxmlformats.org/officeDocument/2006/relationships/hyperlink" Target="https://kups.ub.uni-koeln.de/10885/" TargetMode="External"/><Relationship Id="rId172" Type="http://schemas.openxmlformats.org/officeDocument/2006/relationships/hyperlink" Target="https://kups.ub.uni-koeln.de/10885/" TargetMode="External"/><Relationship Id="rId193" Type="http://schemas.openxmlformats.org/officeDocument/2006/relationships/hyperlink" Target="https://www.cambridge.org/core/services/aop-cambridge-core/content/view/58A6CD02A3A05C3456F509A65D6B7BE3/S002185370000654Xa.pdf/radiocarbon-dates-for-sub-saharan-africaiv.pdf" TargetMode="External"/><Relationship Id="rId13" Type="http://schemas.openxmlformats.org/officeDocument/2006/relationships/hyperlink" Target="https://www.jstor.org/stable/180964" TargetMode="External"/><Relationship Id="rId109" Type="http://schemas.openxmlformats.org/officeDocument/2006/relationships/hyperlink" Target="https://www.jstor.org/stable/181297" TargetMode="External"/><Relationship Id="rId34" Type="http://schemas.openxmlformats.org/officeDocument/2006/relationships/hyperlink" Target="https://www.cambridge.org/core/journals/journal-of-african-history/article/southern-rhodesian-iron-age/0305000385ECB3D1D56EB965D406A973" TargetMode="External"/><Relationship Id="rId55" Type="http://schemas.openxmlformats.org/officeDocument/2006/relationships/hyperlink" Target="https://www.jstor.org/stable/pdf/24520285.pdf" TargetMode="External"/><Relationship Id="rId76" Type="http://schemas.openxmlformats.org/officeDocument/2006/relationships/hyperlink" Target="https://www.jstor.org/stable/pdf/24520285.pdf" TargetMode="External"/><Relationship Id="rId97" Type="http://schemas.openxmlformats.org/officeDocument/2006/relationships/hyperlink" Target="https://www.cambridge.org/core/journals/radiocarbon/article/riken-natural-radiocarbon-measurements-viii/09004EA1B98B383286599B3B6C414027" TargetMode="External"/><Relationship Id="rId120" Type="http://schemas.openxmlformats.org/officeDocument/2006/relationships/hyperlink" Target="https://www.cambridge.org/core/journals/journal-of-african-history/article/some-recent-radiocarbon-dates-from-eastern-and-southern-africa/69145CE18F5E9D6A7370640EFFBD7406" TargetMode="External"/><Relationship Id="rId141" Type="http://schemas.openxmlformats.org/officeDocument/2006/relationships/hyperlink" Target="https://repositorio.ul.pt/handle/10451/9791" TargetMode="External"/><Relationship Id="rId7" Type="http://schemas.openxmlformats.org/officeDocument/2006/relationships/hyperlink" Target="https://www.cambridge.org/core/journals/radiocarbon/article/ucla-radiocarbon-dates-iv/C02AA1800F2DADDFFAF23A559825B841"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2" Type="http://schemas.openxmlformats.org/officeDocument/2006/relationships/hyperlink" Target="https://kups.ub.uni-koeln.de/10885/" TargetMode="External"/><Relationship Id="rId183" Type="http://schemas.openxmlformats.org/officeDocument/2006/relationships/hyperlink" Target="https://www.tandfonline.com/doi/abs/10.1080/00672707209511559"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cambridge.org/core/journals/journal-of-african-history/article/radiocarbon-dates-for-subsaharan-africa-from-c-1000-bciii/8BA42138F4602DFE0ABBAB3DE337AF97" TargetMode="External"/><Relationship Id="rId24" Type="http://schemas.openxmlformats.org/officeDocument/2006/relationships/hyperlink" Target="https://www.jstor.org/stable/181297" TargetMode="External"/><Relationship Id="rId40" Type="http://schemas.openxmlformats.org/officeDocument/2006/relationships/hyperlink" Target="https://www.cambridge.org/core/journals/journal-of-african-history/article/radiocarbon-dates-for-subsaharan-africa-from-c-1000-bciii/8BA42138F4602DFE0ABBAB3DE337AF97" TargetMode="External"/><Relationship Id="rId45" Type="http://schemas.openxmlformats.org/officeDocument/2006/relationships/hyperlink" Target="https://www.cambridge.org/core/journals/journal-of-african-history/article/radiocarbon-dates-for-subsaharan-africaiv/58A6CD02A3A05C3456F509A65D6B7BE3" TargetMode="External"/><Relationship Id="rId66" Type="http://schemas.openxmlformats.org/officeDocument/2006/relationships/hyperlink" Target="https://www.jstor.org/stable/pdf/24520285.pdf" TargetMode="External"/><Relationship Id="rId8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0" Type="http://schemas.openxmlformats.org/officeDocument/2006/relationships/hyperlink" Target="https://www.jstor.org/stable/181297" TargetMode="External"/><Relationship Id="rId115" Type="http://schemas.openxmlformats.org/officeDocument/2006/relationships/hyperlink" Target="https://www.jstor.org/stable/181297" TargetMode="External"/><Relationship Id="rId131" Type="http://schemas.openxmlformats.org/officeDocument/2006/relationships/hyperlink" Target="https://www.tandfonline.com/doi/pdf/10.1080/00672700509480417" TargetMode="External"/><Relationship Id="rId136" Type="http://schemas.openxmlformats.org/officeDocument/2006/relationships/hyperlink" Target="https://www.tandfonline.com/doi/pdf/10.1080/00672700509480417" TargetMode="External"/><Relationship Id="rId157" Type="http://schemas.openxmlformats.org/officeDocument/2006/relationships/hyperlink" Target="https://kups.ub.uni-koeln.de/10885/" TargetMode="External"/><Relationship Id="rId178" Type="http://schemas.openxmlformats.org/officeDocument/2006/relationships/hyperlink" Target="https://www.tandfonline.com/doi/abs/10.1080/00672709109511424" TargetMode="External"/><Relationship Id="rId61" Type="http://schemas.openxmlformats.org/officeDocument/2006/relationships/hyperlink" Target="https://www.jstor.org/stable/pdf/24520285.pdf" TargetMode="External"/><Relationship Id="rId8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2" Type="http://schemas.openxmlformats.org/officeDocument/2006/relationships/hyperlink" Target="https://kups.ub.uni-koeln.de/10885/" TargetMode="External"/><Relationship Id="rId173" Type="http://schemas.openxmlformats.org/officeDocument/2006/relationships/hyperlink" Target="https://kups.ub.uni-koeln.de/10885/" TargetMode="External"/><Relationship Id="rId194" Type="http://schemas.openxmlformats.org/officeDocument/2006/relationships/hyperlink" Target="https://www.jstor.org/stable/pdf/24520285.pdf" TargetMode="External"/><Relationship Id="rId199" Type="http://schemas.openxmlformats.org/officeDocument/2006/relationships/printerSettings" Target="../printerSettings/printerSettings1.bin"/><Relationship Id="rId19" Type="http://schemas.openxmlformats.org/officeDocument/2006/relationships/hyperlink" Target="https://www.jstor.org/stable/180964" TargetMode="External"/><Relationship Id="rId14" Type="http://schemas.openxmlformats.org/officeDocument/2006/relationships/hyperlink" Target="https://www.jstor.org/stable/180964" TargetMode="External"/><Relationship Id="rId30" Type="http://schemas.openxmlformats.org/officeDocument/2006/relationships/hyperlink" Target="https://www.cambridge.org/core/journals/journal-of-african-history/article/radiocarbon-dates-for-subsaharan-africa-from-c-1000-bciii/8BA42138F4602DFE0ABBAB3DE337AF97" TargetMode="External"/><Relationship Id="rId35" Type="http://schemas.openxmlformats.org/officeDocument/2006/relationships/hyperlink" Target="https://www.cambridge.org/core/journals/journal-of-african-history/article/radiocarbon-dates-for-subsaharan-africa-from-c-1000-bciii/8BA42138F4602DFE0ABBAB3DE337AF97" TargetMode="External"/><Relationship Id="rId56" Type="http://schemas.openxmlformats.org/officeDocument/2006/relationships/hyperlink" Target="https://www.jstor.org/stable/pdf/24520285.pdf"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cambridge.org/core/journals/journal-of-african-history/article/radiocarbon-dates-for-subsaharan-africa-v/5513115DB13AC46B61F2F3B3BD25A841" TargetMode="External"/><Relationship Id="rId105" Type="http://schemas.openxmlformats.org/officeDocument/2006/relationships/hyperlink" Target="https://www.cambridge.org/core/journals/journal-of-african-history/article/archaeology-in-eastern-africa-recent-developments-and-more-dates1/24BC2862EAA2CFB48AF4CF509DF89564" TargetMode="External"/><Relationship Id="rId126" Type="http://schemas.openxmlformats.org/officeDocument/2006/relationships/hyperlink" Target="https://www.cambridge.org/core/journals/journal-of-african-history/article/radiocarbon-dates-for-subsaharan-africa-vi/761DEFDD494FDAB6CCA5D3D89212117E" TargetMode="External"/><Relationship Id="rId147" Type="http://schemas.openxmlformats.org/officeDocument/2006/relationships/hyperlink" Target="https://kups.ub.uni-koeln.de/10885/" TargetMode="External"/><Relationship Id="rId168" Type="http://schemas.openxmlformats.org/officeDocument/2006/relationships/hyperlink" Target="https://kups.ub.uni-koeln.de/10885/" TargetMode="External"/><Relationship Id="rId8" Type="http://schemas.openxmlformats.org/officeDocument/2006/relationships/hyperlink" Target="https://www.cambridge.org/core/journals/radiocarbon/article/ucla-radiocarbon-dates-iv/C02AA1800F2DADDFFAF23A559825B841" TargetMode="External"/><Relationship Id="rId51" Type="http://schemas.openxmlformats.org/officeDocument/2006/relationships/hyperlink" Target="https://www.jstor.org/stable/pdf/24520285.pdf"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cambridge.org/core/journals/radiocarbon/article/riken-natural-radiocarbon-measurements-iv/13DBB5869D40361CB40CF3E49731E54D" TargetMode="External"/><Relationship Id="rId98" Type="http://schemas.openxmlformats.org/officeDocument/2006/relationships/hyperlink" Target="https://www.cambridge.org/core/journals/journal-of-african-history/article/radiocarbon-dates-for-subsaharan-africa-v/5513115DB13AC46B61F2F3B3BD25A841" TargetMode="External"/><Relationship Id="rId121" Type="http://schemas.openxmlformats.org/officeDocument/2006/relationships/hyperlink" Target="https://www.cambridge.org/core/journals/journal-of-african-history/article/some-recent-radiocarbon-dates-from-eastern-and-southern-africa/69145CE18F5E9D6A7370640EFFBD7406" TargetMode="External"/><Relationship Id="rId142" Type="http://schemas.openxmlformats.org/officeDocument/2006/relationships/hyperlink" Target="https://www.diva-portal.org/smash/record.jsf?pid=diva2%3A862495&amp;dswid=-6526" TargetMode="External"/><Relationship Id="rId163" Type="http://schemas.openxmlformats.org/officeDocument/2006/relationships/hyperlink" Target="https://kups.ub.uni-koeln.de/10885/" TargetMode="External"/><Relationship Id="rId184" Type="http://schemas.openxmlformats.org/officeDocument/2006/relationships/hyperlink" Target="https://www.tandfonline.com/doi/abs/10.1080/00672707209511559" TargetMode="External"/><Relationship Id="rId189" Type="http://schemas.openxmlformats.org/officeDocument/2006/relationships/hyperlink" Target="https://link.springer.com/article/10.1007/s10437-021-09440-y"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5" Type="http://schemas.openxmlformats.org/officeDocument/2006/relationships/hyperlink" Target="https://www.jstor.org/stable/181297" TargetMode="External"/><Relationship Id="rId46" Type="http://schemas.openxmlformats.org/officeDocument/2006/relationships/hyperlink" Target="https://www.cambridge.org/core/journals/journal-of-african-history/article/radiocarbon-dates-for-subsaharan-africaiv/58A6CD02A3A05C3456F509A65D6B7BE3" TargetMode="External"/><Relationship Id="rId67" Type="http://schemas.openxmlformats.org/officeDocument/2006/relationships/hyperlink" Target="https://www.jstor.org/stable/pdf/24520285.pdf" TargetMode="External"/><Relationship Id="rId116" Type="http://schemas.openxmlformats.org/officeDocument/2006/relationships/hyperlink" Target="https://www.jstor.org/stable/181297" TargetMode="External"/><Relationship Id="rId137" Type="http://schemas.openxmlformats.org/officeDocument/2006/relationships/hyperlink" Target="https://www.tandfonline.com/doi/pdf/10.1080/00672700509480417" TargetMode="External"/><Relationship Id="rId158" Type="http://schemas.openxmlformats.org/officeDocument/2006/relationships/hyperlink" Target="https://kups.ub.uni-koeln.de/10885/"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early-iron-age-in-zambiaregional-variants-and-some-tentative-conclusions/0301F984B30D1967F7AB21626D8F4038" TargetMode="External"/><Relationship Id="rId62" Type="http://schemas.openxmlformats.org/officeDocument/2006/relationships/hyperlink" Target="https://www.jstor.org/stable/pdf/24520285.pdf" TargetMode="External"/><Relationship Id="rId8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8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1" Type="http://schemas.openxmlformats.org/officeDocument/2006/relationships/hyperlink" Target="https://www.jstor.org/stable/181297" TargetMode="External"/><Relationship Id="rId132" Type="http://schemas.openxmlformats.org/officeDocument/2006/relationships/hyperlink" Target="https://www.tandfonline.com/doi/pdf/10.1080/00672700509480417" TargetMode="External"/><Relationship Id="rId153" Type="http://schemas.openxmlformats.org/officeDocument/2006/relationships/hyperlink" Target="https://kups.ub.uni-koeln.de/10885/" TargetMode="External"/><Relationship Id="rId174" Type="http://schemas.openxmlformats.org/officeDocument/2006/relationships/hyperlink" Target="https://kups.ub.uni-koeln.de/10885/" TargetMode="External"/><Relationship Id="rId179" Type="http://schemas.openxmlformats.org/officeDocument/2006/relationships/hyperlink" Target="https://www.tandfonline.com/doi/abs/10.1080/00672709109511424" TargetMode="External"/><Relationship Id="rId195" Type="http://schemas.openxmlformats.org/officeDocument/2006/relationships/hyperlink" Target="https://www.jstor.org/stable/pdf/24520285.pdf" TargetMode="External"/><Relationship Id="rId190" Type="http://schemas.openxmlformats.org/officeDocument/2006/relationships/hyperlink" Target="https://link.springer.com/article/10.1007/s10437-021-09440-y" TargetMode="External"/><Relationship Id="rId15" Type="http://schemas.openxmlformats.org/officeDocument/2006/relationships/hyperlink" Target="https://www.jstor.org/stable/180964" TargetMode="External"/><Relationship Id="rId36" Type="http://schemas.openxmlformats.org/officeDocument/2006/relationships/hyperlink" Target="https://www.cambridge.org/core/journals/journal-of-african-history/article/radiocarbon-dates-for-subsaharan-africa-from-c-1000-bciii/8BA42138F4602DFE0ABBAB3DE337AF97" TargetMode="External"/><Relationship Id="rId57" Type="http://schemas.openxmlformats.org/officeDocument/2006/relationships/hyperlink" Target="https://www.jstor.org/stable/pdf/24520285.pdf" TargetMode="External"/><Relationship Id="rId106" Type="http://schemas.openxmlformats.org/officeDocument/2006/relationships/hyperlink" Target="https://www.cambridge.org/core/journals/journal-of-african-history/article/archaeology-in-eastern-africa-recent-developments-and-more-dates1/24BC2862EAA2CFB48AF4CF509DF89564" TargetMode="External"/><Relationship Id="rId127" Type="http://schemas.openxmlformats.org/officeDocument/2006/relationships/hyperlink" Target="https://www.cambridge.org/core/journals/journal-of-african-history/article/radiocarbon-dates-for-subsaharan-africa-vi/761DEFDD494FDAB6CCA5D3D89212117E" TargetMode="External"/><Relationship Id="rId10" Type="http://schemas.openxmlformats.org/officeDocument/2006/relationships/hyperlink" Target="https://www.sciencedirect.com/science/article/pii/S0305440397902776" TargetMode="External"/><Relationship Id="rId31" Type="http://schemas.openxmlformats.org/officeDocument/2006/relationships/hyperlink" Target="https://www.cambridge.org/core/journals/journal-of-african-history/article/radiocarbon-dates-for-subsaharan-africa-from-c-1000-bciii/8BA42138F4602DFE0ABBAB3DE337AF97" TargetMode="External"/><Relationship Id="rId52" Type="http://schemas.openxmlformats.org/officeDocument/2006/relationships/hyperlink" Target="https://www.jstor.org/stable/pdf/24520285.pdf" TargetMode="External"/><Relationship Id="rId73" Type="http://schemas.openxmlformats.org/officeDocument/2006/relationships/hyperlink" Target="https://www.jstor.org/stable/pdf/24520285.pdf" TargetMode="External"/><Relationship Id="rId78" Type="http://schemas.openxmlformats.org/officeDocument/2006/relationships/hyperlink" Target="https://www.jstor.org/stable/pdf/24520285.pdf" TargetMode="External"/><Relationship Id="rId94" Type="http://schemas.openxmlformats.org/officeDocument/2006/relationships/hyperlink" Target="https://www.cambridge.org/core/journals/radiocarbon/article/riken-natural-radiocarbon-measurements-iv/13DBB5869D40361CB40CF3E49731E54D" TargetMode="External"/><Relationship Id="rId99" Type="http://schemas.openxmlformats.org/officeDocument/2006/relationships/hyperlink" Target="https://www.cambridge.org/core/journals/journal-of-african-history/article/radiocarbon-dates-for-subsaharan-africa-v/5513115DB13AC46B61F2F3B3BD25A841" TargetMode="External"/><Relationship Id="rId101" Type="http://schemas.openxmlformats.org/officeDocument/2006/relationships/hyperlink" Target="https://www.cambridge.org/core/journals/journal-of-african-history/article/radiocarbon-dates-for-subsaharan-africa-v/5513115DB13AC46B61F2F3B3BD25A841" TargetMode="External"/><Relationship Id="rId122" Type="http://schemas.openxmlformats.org/officeDocument/2006/relationships/hyperlink" Target="https://www.cambridge.org/core/journals/journal-of-african-history/article/new-radiocarbon-dates-for-eastern-and-southern-africa/141E1E0F1EEECBCFCBD22432B197CCBD" TargetMode="External"/><Relationship Id="rId143" Type="http://schemas.openxmlformats.org/officeDocument/2006/relationships/hyperlink" Target="https://www.diva-portal.org/smash/record.jsf?pid=diva2%3A862495&amp;dswid=-6526" TargetMode="External"/><Relationship Id="rId148" Type="http://schemas.openxmlformats.org/officeDocument/2006/relationships/hyperlink" Target="https://kups.ub.uni-koeln.de/10885/" TargetMode="External"/><Relationship Id="rId164" Type="http://schemas.openxmlformats.org/officeDocument/2006/relationships/hyperlink" Target="https://kups.ub.uni-koeln.de/10885/" TargetMode="External"/><Relationship Id="rId169" Type="http://schemas.openxmlformats.org/officeDocument/2006/relationships/hyperlink" Target="https://kups.ub.uni-koeln.de/10885/" TargetMode="External"/><Relationship Id="rId185" Type="http://schemas.openxmlformats.org/officeDocument/2006/relationships/hyperlink" Target="https://www.cambridge.org/core/journals/radiocarbon/article/rhodesian-radiocarbon-measurements-iv/B0EAE0D1B9B9B543CDE517F02495B5C9" TargetMode="External"/><Relationship Id="rId4" Type="http://schemas.openxmlformats.org/officeDocument/2006/relationships/hyperlink" Target="https://www.cambridge.org/core/journals/journal-of-african-history/article/radiocarbon-dates-for-subsaharan-africa-from-c-1000-bciii/8BA42138F4602DFE0ABBAB3DE337AF97" TargetMode="External"/><Relationship Id="rId9" Type="http://schemas.openxmlformats.org/officeDocument/2006/relationships/hyperlink" Target="https://www.sciencedirect.com/science/article/pii/S0305440397902776" TargetMode="External"/><Relationship Id="rId180" Type="http://schemas.openxmlformats.org/officeDocument/2006/relationships/hyperlink" Target="https://www.tandfonline.com/doi/abs/10.1080/00672709109511424" TargetMode="External"/><Relationship Id="rId26" Type="http://schemas.openxmlformats.org/officeDocument/2006/relationships/hyperlink" Target="https://www.cambridge.org/core/journals/journal-of-african-history/article/radiocarbon-dates-for-subsaharan-africa-from-c-1000-bciii/8BA42138F4602DFE0ABBAB3DE337AF97" TargetMode="External"/><Relationship Id="rId47" Type="http://schemas.openxmlformats.org/officeDocument/2006/relationships/hyperlink" Target="https://www.cambridge.org/core/journals/journal-of-african-history/article/radiocarbon-dates-for-subsaharan-africaiv/58A6CD02A3A05C3456F509A65D6B7BE3" TargetMode="External"/><Relationship Id="rId68" Type="http://schemas.openxmlformats.org/officeDocument/2006/relationships/hyperlink" Target="https://www.jstor.org/stable/pdf/24520285.pdf" TargetMode="External"/><Relationship Id="rId8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2" Type="http://schemas.openxmlformats.org/officeDocument/2006/relationships/hyperlink" Target="https://www.jstor.org/stable/181297" TargetMode="External"/><Relationship Id="rId133" Type="http://schemas.openxmlformats.org/officeDocument/2006/relationships/hyperlink" Target="https://www.tandfonline.com/doi/pdf/10.1080/00672700509480417" TargetMode="External"/><Relationship Id="rId154" Type="http://schemas.openxmlformats.org/officeDocument/2006/relationships/hyperlink" Target="https://kups.ub.uni-koeln.de/10885/" TargetMode="External"/><Relationship Id="rId175" Type="http://schemas.openxmlformats.org/officeDocument/2006/relationships/hyperlink" Target="https://www.cambridge.org/core/journals/radiocarbon/article/rhodesian-radiocarbon-measurements-iv/B0EAE0D1B9B9B543CDE517F02495B5C9" TargetMode="External"/><Relationship Id="rId196" Type="http://schemas.openxmlformats.org/officeDocument/2006/relationships/hyperlink" Target="https://www.cambridge.org/core/journals/radiocarbon/article/rhodesian-radiocarbon-measurements-v/B33B5DE78FB0FCC2869EA67196EA1A96" TargetMode="External"/><Relationship Id="rId16" Type="http://schemas.openxmlformats.org/officeDocument/2006/relationships/hyperlink" Target="https://www.jstor.org/stable/180964" TargetMode="External"/><Relationship Id="rId37" Type="http://schemas.openxmlformats.org/officeDocument/2006/relationships/hyperlink" Target="https://www.cambridge.org/core/journals/journal-of-african-history/article/radiocarbon-dates-for-subsaharan-africa-from-c-1000-bciii/8BA42138F4602DFE0ABBAB3DE337AF97" TargetMode="External"/><Relationship Id="rId58" Type="http://schemas.openxmlformats.org/officeDocument/2006/relationships/hyperlink" Target="https://www.jstor.org/stable/pdf/24520285.pdf"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cambridge.org/core/journals/journal-of-african-history/article/radiocarbon-dates-for-subsaharan-africa-v/5513115DB13AC46B61F2F3B3BD25A841" TargetMode="External"/><Relationship Id="rId123" Type="http://schemas.openxmlformats.org/officeDocument/2006/relationships/hyperlink" Target="https://www.cambridge.org/core/journals/journal-of-african-history/article/radiocarbon-dates-for-subsaharan-africa-vi/761DEFDD494FDAB6CCA5D3D89212117E" TargetMode="External"/><Relationship Id="rId144" Type="http://schemas.openxmlformats.org/officeDocument/2006/relationships/hyperlink" Target="https://www.cambridge.org/core/journals/journal-of-african-history/article/new-radiocarbon-dates-for-eastern-and-southern-africa/141E1E0F1EEECBCFCBD22432B197CCBD" TargetMode="External"/><Relationship Id="rId9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5" Type="http://schemas.openxmlformats.org/officeDocument/2006/relationships/hyperlink" Target="https://kups.ub.uni-koeln.de/10885/" TargetMode="External"/><Relationship Id="rId186" Type="http://schemas.openxmlformats.org/officeDocument/2006/relationships/hyperlink" Target="https://www.cambridge.org/core/journals/radiocarbon/article/rhodesian-radiocarbon-measurements-iv/B0EAE0D1B9B9B543CDE517F02495B5C9" TargetMode="External"/><Relationship Id="rId27" Type="http://schemas.openxmlformats.org/officeDocument/2006/relationships/hyperlink" Target="https://www.cambridge.org/core/journals/journal-of-african-history/article/radiocarbon-dates-for-subsaharan-africa-from-c-1000-bciii/8BA42138F4602DFE0ABBAB3DE337AF97" TargetMode="External"/><Relationship Id="rId48" Type="http://schemas.openxmlformats.org/officeDocument/2006/relationships/hyperlink" Target="https://www.cambridge.org/core/journals/journal-of-african-history/article/radiocarbon-dates-for-subsaharan-africaiv/58A6CD02A3A05C3456F509A65D6B7BE3"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jstor.org/stable/181297" TargetMode="External"/><Relationship Id="rId134" Type="http://schemas.openxmlformats.org/officeDocument/2006/relationships/hyperlink" Target="https://www.tandfonline.com/doi/pdf/10.1080/00672700509480417"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kups.ub.uni-koeln.de/10885/" TargetMode="External"/><Relationship Id="rId176" Type="http://schemas.openxmlformats.org/officeDocument/2006/relationships/hyperlink" Target="https://www.cambridge.org/core/journals/radiocarbon/article/rhodesian-radiocarbon-measurements-iv/B0EAE0D1B9B9B543CDE517F02495B5C9" TargetMode="External"/><Relationship Id="rId197" Type="http://schemas.openxmlformats.org/officeDocument/2006/relationships/hyperlink" Target="https://www.jstor.org/stable/pdf/24520285.pdf"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jstor.org/stable/pdf/24520285.pdf" TargetMode="External"/><Relationship Id="rId103" Type="http://schemas.openxmlformats.org/officeDocument/2006/relationships/hyperlink" Target="https://www.cambridge.org/core/journals/journal-of-african-history/article/archaeology-in-eastern-africa-recent-developments-and-more-dates1/24BC2862EAA2CFB48AF4CF509DF89564" TargetMode="External"/><Relationship Id="rId124" Type="http://schemas.openxmlformats.org/officeDocument/2006/relationships/hyperlink" Target="https://www.cambridge.org/core/journals/journal-of-african-history/article/radiocarbon-dates-for-subsaharan-africa-vi/761DEFDD494FDAB6CCA5D3D89212117E"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5" Type="http://schemas.openxmlformats.org/officeDocument/2006/relationships/hyperlink" Target="https://www.cambridge.org/core/journals/journal-of-african-history/article/new-radiocarbon-dates-for-eastern-and-southern-africa/23592DD5A0BBA1171C9D4A31EB85319D" TargetMode="External"/><Relationship Id="rId166" Type="http://schemas.openxmlformats.org/officeDocument/2006/relationships/hyperlink" Target="https://kups.ub.uni-koeln.de/10885/" TargetMode="External"/><Relationship Id="rId187" Type="http://schemas.openxmlformats.org/officeDocument/2006/relationships/hyperlink" Target="https://link.springer.com/article/10.1007/s10437-021-09440-y" TargetMode="External"/><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8" Type="http://schemas.openxmlformats.org/officeDocument/2006/relationships/hyperlink" Target="https://www.jstor.org/stable/3889287" TargetMode="External"/><Relationship Id="rId49" Type="http://schemas.openxmlformats.org/officeDocument/2006/relationships/hyperlink" Target="https://www.jstor.org/stable/pdf/24520285.pdf" TargetMode="External"/><Relationship Id="rId114" Type="http://schemas.openxmlformats.org/officeDocument/2006/relationships/hyperlink" Target="https://www.jstor.org/stable/181297" TargetMode="External"/><Relationship Id="rId60" Type="http://schemas.openxmlformats.org/officeDocument/2006/relationships/hyperlink" Target="https://www.jstor.org/stable/pdf/24520285.pdf"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tandfonline.com/doi/pdf/10.1080/00672700509480417" TargetMode="External"/><Relationship Id="rId156" Type="http://schemas.openxmlformats.org/officeDocument/2006/relationships/hyperlink" Target="https://kups.ub.uni-koeln.de/10885/" TargetMode="External"/><Relationship Id="rId177" Type="http://schemas.openxmlformats.org/officeDocument/2006/relationships/hyperlink" Target="https://www.cambridge.org/core/journals/journal-of-african-history/article/archaeology-in-eastern-africa-an-overview-of-current-chronological-issues/5E374A8070A33D72EA4A569227347E02" TargetMode="External"/><Relationship Id="rId198" Type="http://schemas.openxmlformats.org/officeDocument/2006/relationships/hyperlink" Target="https://www.jstor.org/stable/pdf/24520285.pdf"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50" Type="http://schemas.openxmlformats.org/officeDocument/2006/relationships/hyperlink" Target="https://www.jstor.org/stable/pdf/24520285.pdf" TargetMode="External"/><Relationship Id="rId104" Type="http://schemas.openxmlformats.org/officeDocument/2006/relationships/hyperlink" Target="https://www.cambridge.org/core/journals/journal-of-african-history/article/archaeology-in-eastern-africa-recent-developments-and-more-dates1/24BC2862EAA2CFB48AF4CF509DF89564" TargetMode="External"/><Relationship Id="rId125" Type="http://schemas.openxmlformats.org/officeDocument/2006/relationships/hyperlink" Target="https://www.cambridge.org/core/journals/journal-of-african-history/article/radiocarbon-dates-for-subsaharan-africa-vi/761DEFDD494FDAB6CCA5D3D89212117E" TargetMode="External"/><Relationship Id="rId146" Type="http://schemas.openxmlformats.org/officeDocument/2006/relationships/hyperlink" Target="https://www.cambridge.org/core/journals/journal-of-african-history/article/new-look-at-the-later-prehistory-of-the-kalahari/8B19240305EC8170BD42F7C7BC625911" TargetMode="External"/><Relationship Id="rId167" Type="http://schemas.openxmlformats.org/officeDocument/2006/relationships/hyperlink" Target="https://kups.ub.uni-koeln.de/10885/" TargetMode="External"/><Relationship Id="rId188" Type="http://schemas.openxmlformats.org/officeDocument/2006/relationships/hyperlink" Target="https://link.springer.com/article/10.1007/s10437-021-09440-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ambridge.org/core/journals/radiocarbon/article/riken-natural-radiocarbon-measurements-iv/13DBB5869D40361CB40CF3E49731E54D" TargetMode="External"/><Relationship Id="rId21" Type="http://schemas.openxmlformats.org/officeDocument/2006/relationships/hyperlink" Target="https://www.jstor.org/stable/180964"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63" Type="http://schemas.openxmlformats.org/officeDocument/2006/relationships/hyperlink" Target="https://www.cambridge.org/core/journals/journal-of-african-history/article/radiocarbon-dates-for-subsaharan-africaiv/58A6CD02A3A05C3456F509A65D6B7BE3"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jstor.org/stable/181297" TargetMode="External"/><Relationship Id="rId159" Type="http://schemas.openxmlformats.org/officeDocument/2006/relationships/hyperlink" Target="https://www.tandfonline.com/doi/pdf/10.1080/00672700509480417" TargetMode="External"/><Relationship Id="rId170" Type="http://schemas.openxmlformats.org/officeDocument/2006/relationships/hyperlink" Target="https://ebookcentral.proquest.com/lib/cam/reader.action?docID=4865484" TargetMode="External"/><Relationship Id="rId191" Type="http://schemas.openxmlformats.org/officeDocument/2006/relationships/hyperlink" Target="https://kups.ub.uni-koeln.de/10885/" TargetMode="External"/><Relationship Id="rId205" Type="http://schemas.openxmlformats.org/officeDocument/2006/relationships/hyperlink" Target="https://kups.ub.uni-koeln.de/10885/" TargetMode="External"/><Relationship Id="rId226" Type="http://schemas.openxmlformats.org/officeDocument/2006/relationships/hyperlink" Target="https://link.springer.com/article/10.1007/s10437-021-09440-y" TargetMode="External"/><Relationship Id="rId10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 Type="http://schemas.openxmlformats.org/officeDocument/2006/relationships/hyperlink" Target="https://www.sciencedirect.com/science/article/pii/S0305440397902776" TargetMode="External"/><Relationship Id="rId32" Type="http://schemas.openxmlformats.org/officeDocument/2006/relationships/hyperlink" Target="https://www.jstor.org/stable/180964" TargetMode="External"/><Relationship Id="rId53" Type="http://schemas.openxmlformats.org/officeDocument/2006/relationships/hyperlink" Target="https://www.cambridge.org/core/journals/journal-of-african-history/article/radiocarbon-dates-for-subsaharan-africa-from-c-1000-bciii/8BA42138F4602DFE0ABBAB3DE337AF97"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archaeology-in-eastern-africa-recent-developments-and-more-dates1/24BC2862EAA2CFB48AF4CF509DF89564" TargetMode="External"/><Relationship Id="rId149" Type="http://schemas.openxmlformats.org/officeDocument/2006/relationships/hyperlink" Target="https://www.cambridge.org/core/journals/journal-of-african-history/article/radiocarbon-dates-for-subsaharan-africa-vi/761DEFDD494FDAB6CCA5D3D89212117E" TargetMode="External"/><Relationship Id="rId5" Type="http://schemas.openxmlformats.org/officeDocument/2006/relationships/hyperlink" Target="https://www.cambridge.org/core/journals/radiocarbon/article/ucla-radiocarbon-dates-iv/C02AA1800F2DADDFFAF23A559825B841" TargetMode="External"/><Relationship Id="rId95" Type="http://schemas.openxmlformats.org/officeDocument/2006/relationships/hyperlink" Target="https://www.jstor.org/stable/pdf/24520285.pdf" TargetMode="External"/><Relationship Id="rId160" Type="http://schemas.openxmlformats.org/officeDocument/2006/relationships/hyperlink" Target="https://www.tandfonline.com/doi/pdf/10.1080/00672700509480417" TargetMode="External"/><Relationship Id="rId181" Type="http://schemas.openxmlformats.org/officeDocument/2006/relationships/hyperlink" Target="https://kups.ub.uni-koeln.de/10885/" TargetMode="External"/><Relationship Id="rId216" Type="http://schemas.openxmlformats.org/officeDocument/2006/relationships/hyperlink" Target="https://www.tandfonline.com/doi/abs/10.1080/00672707209511559" TargetMode="External"/><Relationship Id="rId22" Type="http://schemas.openxmlformats.org/officeDocument/2006/relationships/hyperlink" Target="https://www.jstor.org/stable/180964"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64" Type="http://schemas.openxmlformats.org/officeDocument/2006/relationships/hyperlink" Target="https://www.cambridge.org/core/journals/journal-of-african-history/article/radiocarbon-dates-for-subsaharan-africaiv/58A6CD02A3A05C3456F509A65D6B7BE3" TargetMode="External"/><Relationship Id="rId118" Type="http://schemas.openxmlformats.org/officeDocument/2006/relationships/hyperlink" Target="https://www.cambridge.org/core/journals/radiocarbon/article/riken-natural-radiocarbon-measurements-viii/09004EA1B98B383286599B3B6C414027" TargetMode="External"/><Relationship Id="rId139" Type="http://schemas.openxmlformats.org/officeDocument/2006/relationships/hyperlink" Target="https://www.jstor.org/stable/181297"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www.cambridge.org/core/journals/journal-of-african-history/article/radiocarbon-dates-for-subsaharan-africa-vi/761DEFDD494FDAB6CCA5D3D89212117E" TargetMode="External"/><Relationship Id="rId171" Type="http://schemas.openxmlformats.org/officeDocument/2006/relationships/hyperlink" Target="https://ebookcentral.proquest.com/lib/cam/reader.action?docID=4865484" TargetMode="External"/><Relationship Id="rId192" Type="http://schemas.openxmlformats.org/officeDocument/2006/relationships/hyperlink" Target="https://kups.ub.uni-koeln.de/10885/" TargetMode="External"/><Relationship Id="rId206" Type="http://schemas.openxmlformats.org/officeDocument/2006/relationships/hyperlink" Target="https://kups.ub.uni-koeln.de/10885/" TargetMode="External"/><Relationship Id="rId227" Type="http://schemas.openxmlformats.org/officeDocument/2006/relationships/hyperlink" Target="https://www.cambridge.org/core/services/aop-cambridge-core/content/view/58A6CD02A3A05C3456F509A65D6B7BE3/S002185370000654Xa.pdf/radiocarbon-dates-for-sub-saharan-africaiv.pdf" TargetMode="External"/><Relationship Id="rId12" Type="http://schemas.openxmlformats.org/officeDocument/2006/relationships/hyperlink" Target="https://www.sciencedirect.com/science/article/pii/S0305440397902776" TargetMode="External"/><Relationship Id="rId33" Type="http://schemas.openxmlformats.org/officeDocument/2006/relationships/hyperlink" Target="https://www.jstor.org/stable/181297" TargetMode="External"/><Relationship Id="rId10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9" Type="http://schemas.openxmlformats.org/officeDocument/2006/relationships/hyperlink" Target="https://www.cambridge.org/core/journals/journal-of-african-history/article/archaeology-in-eastern-africa-recent-developments-and-more-dates1/24BC2862EAA2CFB48AF4CF509DF89564" TargetMode="External"/><Relationship Id="rId54" Type="http://schemas.openxmlformats.org/officeDocument/2006/relationships/hyperlink" Target="https://www.cambridge.org/core/journals/journal-of-african-history/article/early-iron-age-in-zambiaregional-variants-and-some-tentative-conclusions/0301F984B30D1967F7AB21626D8F4038" TargetMode="External"/><Relationship Id="rId75" Type="http://schemas.openxmlformats.org/officeDocument/2006/relationships/hyperlink" Target="https://www.jstor.org/stable/pdf/24520285.pdf" TargetMode="External"/><Relationship Id="rId96" Type="http://schemas.openxmlformats.org/officeDocument/2006/relationships/hyperlink" Target="https://www.jstor.org/stable/pdf/24520285.pdf" TargetMode="External"/><Relationship Id="rId140" Type="http://schemas.openxmlformats.org/officeDocument/2006/relationships/hyperlink" Target="https://www.jstor.org/stable/181297" TargetMode="External"/><Relationship Id="rId161" Type="http://schemas.openxmlformats.org/officeDocument/2006/relationships/hyperlink" Target="https://www.tandfonline.com/doi/pdf/10.1080/00672700509480417" TargetMode="External"/><Relationship Id="rId182" Type="http://schemas.openxmlformats.org/officeDocument/2006/relationships/hyperlink" Target="https://kups.ub.uni-koeln.de/10885/" TargetMode="External"/><Relationship Id="rId217" Type="http://schemas.openxmlformats.org/officeDocument/2006/relationships/hyperlink" Target="https://www.tandfonline.com/doi/abs/10.1080/00672707209511559" TargetMode="External"/><Relationship Id="rId6" Type="http://schemas.openxmlformats.org/officeDocument/2006/relationships/hyperlink" Target="https://www.cambridge.org/core/journals/radiocarbon/article/ucla-radiocarbon-dates-iv/C02AA1800F2DADDFFAF23A559825B841" TargetMode="External"/><Relationship Id="rId23" Type="http://schemas.openxmlformats.org/officeDocument/2006/relationships/hyperlink" Target="https://www.jstor.org/stable/180964" TargetMode="External"/><Relationship Id="rId119" Type="http://schemas.openxmlformats.org/officeDocument/2006/relationships/hyperlink" Target="https://www.cambridge.org/core/journals/radiocarbon/article/riken-natural-radiocarbon-measurements-viii/09004EA1B98B383286599B3B6C414027" TargetMode="External"/><Relationship Id="rId44" Type="http://schemas.openxmlformats.org/officeDocument/2006/relationships/hyperlink" Target="https://www.cambridge.org/core/journals/journal-of-african-history/article/radiocarbon-dates-for-subsaharan-africa-from-c-1000-bciii/8BA42138F4602DFE0ABBAB3DE337AF97" TargetMode="External"/><Relationship Id="rId65" Type="http://schemas.openxmlformats.org/officeDocument/2006/relationships/hyperlink" Target="https://www.cambridge.org/core/journals/journal-of-african-history/article/radiocarbon-dates-for-subsaharan-africaiv/58A6CD02A3A05C3456F509A65D6B7BE3" TargetMode="External"/><Relationship Id="rId86" Type="http://schemas.openxmlformats.org/officeDocument/2006/relationships/hyperlink" Target="https://www.jstor.org/stable/pdf/24520285.pdf" TargetMode="External"/><Relationship Id="rId130" Type="http://schemas.openxmlformats.org/officeDocument/2006/relationships/hyperlink" Target="https://www.cambridge.org/core/journals/journal-of-african-history/article/archaeology-in-eastern-africa-recent-developments-and-more-dates1/24BC2862EAA2CFB48AF4CF509DF89564" TargetMode="External"/><Relationship Id="rId151" Type="http://schemas.openxmlformats.org/officeDocument/2006/relationships/hyperlink" Target="https://www.cambridge.org/core/journals/journal-of-african-history/article/radiocarbon-dates-for-subsaharan-africa-vi/761DEFDD494FDAB6CCA5D3D89212117E" TargetMode="External"/><Relationship Id="rId172" Type="http://schemas.openxmlformats.org/officeDocument/2006/relationships/hyperlink" Target="https://ebookcentral.proquest.com/lib/cam/reader.action?docID=4865484" TargetMode="External"/><Relationship Id="rId193" Type="http://schemas.openxmlformats.org/officeDocument/2006/relationships/hyperlink" Target="https://kups.ub.uni-koeln.de/10885/" TargetMode="External"/><Relationship Id="rId207" Type="http://schemas.openxmlformats.org/officeDocument/2006/relationships/hyperlink" Target="https://kups.ub.uni-koeln.de/10885/" TargetMode="External"/><Relationship Id="rId228" Type="http://schemas.openxmlformats.org/officeDocument/2006/relationships/hyperlink" Target="https://www.jstor.org/stable/pdf/24520285.pdf"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4" Type="http://schemas.openxmlformats.org/officeDocument/2006/relationships/hyperlink" Target="https://www.jstor.org/stable/181297" TargetMode="External"/><Relationship Id="rId55" Type="http://schemas.openxmlformats.org/officeDocument/2006/relationships/hyperlink" Target="https://www.cambridge.org/core/journals/journal-of-african-history/article/early-iron-age-in-zambiaregional-variants-and-some-tentative-conclusions/0301F984B30D1967F7AB21626D8F4038" TargetMode="External"/><Relationship Id="rId76" Type="http://schemas.openxmlformats.org/officeDocument/2006/relationships/hyperlink" Target="https://www.jstor.org/stable/pdf/24520285.pdf" TargetMode="External"/><Relationship Id="rId97" Type="http://schemas.openxmlformats.org/officeDocument/2006/relationships/hyperlink" Target="https://www.jstor.org/stable/pdf/24520285.pdf" TargetMode="External"/><Relationship Id="rId120" Type="http://schemas.openxmlformats.org/officeDocument/2006/relationships/hyperlink" Target="https://www.cambridge.org/core/journals/radiocarbon/article/riken-natural-radiocarbon-measurements-viii/09004EA1B98B383286599B3B6C414027" TargetMode="External"/><Relationship Id="rId141" Type="http://schemas.openxmlformats.org/officeDocument/2006/relationships/hyperlink" Target="https://www.jstor.org/stable/181297" TargetMode="External"/><Relationship Id="rId7" Type="http://schemas.openxmlformats.org/officeDocument/2006/relationships/hyperlink" Target="https://www.cambridge.org/core/journals/radiocarbon/article/ucla-radiocarbon-dates-iv/C02AA1800F2DADDFFAF23A559825B841" TargetMode="External"/><Relationship Id="rId162" Type="http://schemas.openxmlformats.org/officeDocument/2006/relationships/hyperlink" Target="https://www.cambridge.org/core/journals/radiocarbon/article/pretoria-radiocarbon-dates-iii/469F44D9DB5C543B6285300463751FF4" TargetMode="External"/><Relationship Id="rId183" Type="http://schemas.openxmlformats.org/officeDocument/2006/relationships/hyperlink" Target="https://kups.ub.uni-koeln.de/10885/" TargetMode="External"/><Relationship Id="rId218" Type="http://schemas.openxmlformats.org/officeDocument/2006/relationships/hyperlink" Target="https://www.tandfonline.com/doi/abs/10.1080/00672707209511559" TargetMode="External"/><Relationship Id="rId24" Type="http://schemas.openxmlformats.org/officeDocument/2006/relationships/hyperlink" Target="https://www.jstor.org/stable/180964" TargetMode="External"/><Relationship Id="rId45" Type="http://schemas.openxmlformats.org/officeDocument/2006/relationships/hyperlink" Target="https://www.cambridge.org/core/journals/journal-of-african-history/article/radiocarbon-dates-for-subsaharan-africa-from-c-1000-bciii/8BA42138F4602DFE0ABBAB3DE337AF97" TargetMode="External"/><Relationship Id="rId66" Type="http://schemas.openxmlformats.org/officeDocument/2006/relationships/hyperlink" Target="https://www.cambridge.org/core/journals/journal-of-african-history/article/radiocarbon-dates-for-subsaharan-africaiv/58A6CD02A3A05C3456F509A65D6B7BE3"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1" Type="http://schemas.openxmlformats.org/officeDocument/2006/relationships/hyperlink" Target="https://www.cambridge.org/core/journals/journal-of-african-history/article/archaeology-in-eastern-africa-recent-developments-and-more-dates1/24BC2862EAA2CFB48AF4CF509DF89564" TargetMode="External"/><Relationship Id="rId152" Type="http://schemas.openxmlformats.org/officeDocument/2006/relationships/hyperlink" Target="https://www.cambridge.org/core/journals/journal-of-african-history/article/radiocarbon-dates-for-subsaharan-africa-vi/761DEFDD494FDAB6CCA5D3D89212117E" TargetMode="External"/><Relationship Id="rId173" Type="http://schemas.openxmlformats.org/officeDocument/2006/relationships/hyperlink" Target="https://ebookcentral.proquest.com/lib/cam/reader.action?docID=4865484" TargetMode="External"/><Relationship Id="rId194" Type="http://schemas.openxmlformats.org/officeDocument/2006/relationships/hyperlink" Target="https://kups.ub.uni-koeln.de/10885/" TargetMode="External"/><Relationship Id="rId208" Type="http://schemas.openxmlformats.org/officeDocument/2006/relationships/hyperlink" Target="https://kups.ub.uni-koeln.de/10885/" TargetMode="External"/><Relationship Id="rId229" Type="http://schemas.openxmlformats.org/officeDocument/2006/relationships/hyperlink" Target="https://www.jstor.org/stable/pdf/24520285.pdf" TargetMode="External"/><Relationship Id="rId14" Type="http://schemas.openxmlformats.org/officeDocument/2006/relationships/hyperlink" Target="https://www.jstor.org/stable/181297" TargetMode="External"/><Relationship Id="rId35" Type="http://schemas.openxmlformats.org/officeDocument/2006/relationships/hyperlink" Target="https://www.jstor.org/stable/180964" TargetMode="External"/><Relationship Id="rId56" Type="http://schemas.openxmlformats.org/officeDocument/2006/relationships/hyperlink" Target="https://www.cambridge.org/core/journals/journal-of-african-history/article/early-iron-age-in-zambiaregional-variants-and-some-tentative-conclusions/0301F984B30D1967F7AB21626D8F4038"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jstor.org/stable/pdf/24520285.pdf" TargetMode="External"/><Relationship Id="rId8" Type="http://schemas.openxmlformats.org/officeDocument/2006/relationships/hyperlink" Target="https://www.cambridge.org/core/journals/radiocarbon/article/ucla-radiocarbon-dates-iv/C02AA1800F2DADDFFAF23A559825B841" TargetMode="External"/><Relationship Id="rId98" Type="http://schemas.openxmlformats.org/officeDocument/2006/relationships/hyperlink" Target="https://www.jstor.org/stable/pdf/24520285.pdf" TargetMode="External"/><Relationship Id="rId121" Type="http://schemas.openxmlformats.org/officeDocument/2006/relationships/hyperlink" Target="https://www.cambridge.org/core/journals/journal-of-african-history/article/radiocarbon-dates-for-subsaharan-africa-v/5513115DB13AC46B61F2F3B3BD25A841" TargetMode="External"/><Relationship Id="rId142" Type="http://schemas.openxmlformats.org/officeDocument/2006/relationships/hyperlink" Target="https://www.jstor.org/stable/181297" TargetMode="External"/><Relationship Id="rId163" Type="http://schemas.openxmlformats.org/officeDocument/2006/relationships/hyperlink" Target="https://www.jstor.org/stable/2844428" TargetMode="External"/><Relationship Id="rId184" Type="http://schemas.openxmlformats.org/officeDocument/2006/relationships/hyperlink" Target="https://kups.ub.uni-koeln.de/10885/" TargetMode="External"/><Relationship Id="rId219" Type="http://schemas.openxmlformats.org/officeDocument/2006/relationships/hyperlink" Target="https://www.cambridge.org/core/journals/radiocarbon/article/rhodesian-radiocarbon-measurements-iv/B0EAE0D1B9B9B543CDE517F02495B5C9" TargetMode="External"/><Relationship Id="rId230" Type="http://schemas.openxmlformats.org/officeDocument/2006/relationships/hyperlink" Target="https://www.cambridge.org/core/journals/radiocarbon/article/rhodesian-radiocarbon-measurements-v/B33B5DE78FB0FCC2869EA67196EA1A96" TargetMode="External"/><Relationship Id="rId25" Type="http://schemas.openxmlformats.org/officeDocument/2006/relationships/hyperlink" Target="https://www.jstor.org/stable/180964" TargetMode="External"/><Relationship Id="rId46" Type="http://schemas.openxmlformats.org/officeDocument/2006/relationships/hyperlink" Target="https://www.cambridge.org/core/journals/journal-of-african-history/article/southern-rhodesian-iron-age/0305000385ECB3D1D56EB965D406A973" TargetMode="External"/><Relationship Id="rId67" Type="http://schemas.openxmlformats.org/officeDocument/2006/relationships/hyperlink" Target="https://www.tandfonline.com/doi/pdf/10.1080/00672709709511586"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cambridge.org/core/journals/journal-of-african-history/article/radiocarbon-dates-for-subsaharan-africaiv/58A6CD02A3A05C3456F509A65D6B7BE3" TargetMode="External"/><Relationship Id="rId83" Type="http://schemas.openxmlformats.org/officeDocument/2006/relationships/hyperlink" Target="https://www.jstor.org/stable/pdf/24520285.pdf" TargetMode="External"/><Relationship Id="rId88" Type="http://schemas.openxmlformats.org/officeDocument/2006/relationships/hyperlink" Target="https://www.jstor.org/stable/pdf/24520285.pdf" TargetMode="External"/><Relationship Id="rId11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2" Type="http://schemas.openxmlformats.org/officeDocument/2006/relationships/hyperlink" Target="https://www.cambridge.org/core/journals/journal-of-african-history/article/archaeology-in-eastern-africa-recent-developments-and-more-dates1/24BC2862EAA2CFB48AF4CF509DF89564" TargetMode="External"/><Relationship Id="rId153" Type="http://schemas.openxmlformats.org/officeDocument/2006/relationships/hyperlink" Target="https://www.cambridge.org/core/journals/journal-of-african-history/article/radiocarbon-dates-for-subsaharan-africa-vi/761DEFDD494FDAB6CCA5D3D89212117E" TargetMode="External"/><Relationship Id="rId174" Type="http://schemas.openxmlformats.org/officeDocument/2006/relationships/hyperlink" Target="https://ebookcentral.proquest.com/lib/cam/reader.action?docID=4865484" TargetMode="External"/><Relationship Id="rId179" Type="http://schemas.openxmlformats.org/officeDocument/2006/relationships/hyperlink" Target="https://ebookcentral.proquest.com/lib/cam/reader.action?docID=4865484" TargetMode="External"/><Relationship Id="rId195" Type="http://schemas.openxmlformats.org/officeDocument/2006/relationships/hyperlink" Target="https://kups.ub.uni-koeln.de/10885/" TargetMode="External"/><Relationship Id="rId209" Type="http://schemas.openxmlformats.org/officeDocument/2006/relationships/hyperlink" Target="https://www.cambridge.org/core/journals/radiocarbon/article/rhodesian-radiocarbon-measurements-iv/B0EAE0D1B9B9B543CDE517F02495B5C9" TargetMode="External"/><Relationship Id="rId190" Type="http://schemas.openxmlformats.org/officeDocument/2006/relationships/hyperlink" Target="https://kups.ub.uni-koeln.de/10885/" TargetMode="External"/><Relationship Id="rId204" Type="http://schemas.openxmlformats.org/officeDocument/2006/relationships/hyperlink" Target="https://kups.ub.uni-koeln.de/10885/" TargetMode="External"/><Relationship Id="rId220" Type="http://schemas.openxmlformats.org/officeDocument/2006/relationships/hyperlink" Target="https://www.cambridge.org/core/journals/radiocarbon/article/rhodesian-radiocarbon-measurements-iv/B0EAE0D1B9B9B543CDE517F02495B5C9" TargetMode="External"/><Relationship Id="rId225" Type="http://schemas.openxmlformats.org/officeDocument/2006/relationships/hyperlink" Target="https://link.springer.com/article/10.1007/s10437-021-09440-y" TargetMode="External"/><Relationship Id="rId15" Type="http://schemas.openxmlformats.org/officeDocument/2006/relationships/hyperlink" Target="https://www.jstor.org/stable/181297" TargetMode="External"/><Relationship Id="rId36" Type="http://schemas.openxmlformats.org/officeDocument/2006/relationships/hyperlink" Target="https://www.jstor.org/stable/180964" TargetMode="External"/><Relationship Id="rId57" Type="http://schemas.openxmlformats.org/officeDocument/2006/relationships/hyperlink" Target="https://www.jstor.org/stable/24520285" TargetMode="External"/><Relationship Id="rId10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7" Type="http://schemas.openxmlformats.org/officeDocument/2006/relationships/hyperlink" Target="https://www.cambridge.org/core/journals/journal-of-african-history/article/archaeology-in-eastern-africa-recent-developments-and-more-dates1/24BC2862EAA2CFB48AF4CF509DF89564" TargetMode="External"/><Relationship Id="rId10" Type="http://schemas.openxmlformats.org/officeDocument/2006/relationships/hyperlink" Target="https://www.cambridge.org/core/journals/radiocarbon/article/ucla-radiocarbon-dates-iv/C02AA1800F2DADDFFAF23A559825B841" TargetMode="External"/><Relationship Id="rId31" Type="http://schemas.openxmlformats.org/officeDocument/2006/relationships/hyperlink" Target="https://www.jstor.org/stable/180964" TargetMode="External"/><Relationship Id="rId52" Type="http://schemas.openxmlformats.org/officeDocument/2006/relationships/hyperlink" Target="https://www.cambridge.org/core/journals/journal-of-african-history/article/radiocarbon-dates-for-subsaharan-africa-from-c-1000-bciii/8BA42138F4602DFE0ABBAB3DE337AF97" TargetMode="External"/><Relationship Id="rId73" Type="http://schemas.openxmlformats.org/officeDocument/2006/relationships/hyperlink" Target="https://www.jstor.org/stable/pdf/24520285.pdf" TargetMode="External"/><Relationship Id="rId78" Type="http://schemas.openxmlformats.org/officeDocument/2006/relationships/hyperlink" Target="https://www.jstor.org/stable/pdf/24520285.pdf" TargetMode="External"/><Relationship Id="rId94" Type="http://schemas.openxmlformats.org/officeDocument/2006/relationships/hyperlink" Target="https://www.jstor.org/stable/pdf/24520285.pdf" TargetMode="External"/><Relationship Id="rId99" Type="http://schemas.openxmlformats.org/officeDocument/2006/relationships/hyperlink" Target="https://www.jstor.org/stable/pdf/24520285.pdf" TargetMode="External"/><Relationship Id="rId101" Type="http://schemas.openxmlformats.org/officeDocument/2006/relationships/hyperlink" Target="https://www.jstor.org/stable/pdf/24520285.pdf" TargetMode="External"/><Relationship Id="rId122" Type="http://schemas.openxmlformats.org/officeDocument/2006/relationships/hyperlink" Target="https://www.cambridge.org/core/journals/journal-of-african-history/article/radiocarbon-dates-for-subsaharan-africa-v/5513115DB13AC46B61F2F3B3BD25A841" TargetMode="External"/><Relationship Id="rId143" Type="http://schemas.openxmlformats.org/officeDocument/2006/relationships/hyperlink" Target="https://www.jstor.org/stable/181297" TargetMode="External"/><Relationship Id="rId148" Type="http://schemas.openxmlformats.org/officeDocument/2006/relationships/hyperlink" Target="https://www.cambridge.org/core/journals/journal-of-african-history/article/radiocarbon-dates-for-subsaharan-africa-vi/761DEFDD494FDAB6CCA5D3D89212117E" TargetMode="External"/><Relationship Id="rId164" Type="http://schemas.openxmlformats.org/officeDocument/2006/relationships/hyperlink" Target="https://repositorio.ul.pt/handle/10451/9791" TargetMode="External"/><Relationship Id="rId169" Type="http://schemas.openxmlformats.org/officeDocument/2006/relationships/hyperlink" Target="https://www.cambridge.org/core/journals/journal-of-african-history/article/new-radiocarbon-dates-for-eastern-and-southern-africa/23592DD5A0BBA1171C9D4A31EB85319D" TargetMode="External"/><Relationship Id="rId185" Type="http://schemas.openxmlformats.org/officeDocument/2006/relationships/hyperlink" Target="https://kups.ub.uni-koeln.de/10885/" TargetMode="External"/><Relationship Id="rId4" Type="http://schemas.openxmlformats.org/officeDocument/2006/relationships/hyperlink" Target="https://www.cambridge.org/core/journals/journal-of-african-history/article/radiocarbon-dates-for-subsaharan-africa-from-c-1000-bciii/8BA42138F4602DFE0ABBAB3DE337AF97" TargetMode="External"/><Relationship Id="rId9" Type="http://schemas.openxmlformats.org/officeDocument/2006/relationships/hyperlink" Target="https://www.cambridge.org/core/journals/radiocarbon/article/ucla-radiocarbon-dates-iv/C02AA1800F2DADDFFAF23A559825B841" TargetMode="External"/><Relationship Id="rId180" Type="http://schemas.openxmlformats.org/officeDocument/2006/relationships/hyperlink" Target="https://www.cambridge.org/core/journals/journal-of-african-history/article/new-look-at-the-later-prehistory-of-the-kalahari/8B19240305EC8170BD42F7C7BC625911" TargetMode="External"/><Relationship Id="rId210" Type="http://schemas.openxmlformats.org/officeDocument/2006/relationships/hyperlink" Target="https://www.cambridge.org/core/journals/radiocarbon/article/rhodesian-radiocarbon-measurements-iv/B0EAE0D1B9B9B543CDE517F02495B5C9" TargetMode="External"/><Relationship Id="rId215" Type="http://schemas.openxmlformats.org/officeDocument/2006/relationships/hyperlink" Target="https://www.tandfonline.com/doi/abs/10.1080/00672707209511559" TargetMode="External"/><Relationship Id="rId26" Type="http://schemas.openxmlformats.org/officeDocument/2006/relationships/hyperlink" Target="https://www.jstor.org/stable/180964" TargetMode="External"/><Relationship Id="rId231" Type="http://schemas.openxmlformats.org/officeDocument/2006/relationships/hyperlink" Target="https://www.jstor.org/stable/pdf/24520285.pdf" TargetMode="External"/><Relationship Id="rId47" Type="http://schemas.openxmlformats.org/officeDocument/2006/relationships/hyperlink" Target="https://www.cambridge.org/core/journals/journal-of-african-history/article/radiocarbon-dates-for-subsaharan-africa-from-c-1000-bciii/8BA42138F4602DFE0ABBAB3DE337AF97" TargetMode="External"/><Relationship Id="rId68" Type="http://schemas.openxmlformats.org/officeDocument/2006/relationships/hyperlink" Target="https://www.jstor.org/stable/pdf/24520285.pdf" TargetMode="External"/><Relationship Id="rId89" Type="http://schemas.openxmlformats.org/officeDocument/2006/relationships/hyperlink" Target="https://www.jstor.org/stable/pdf/24520285.pdf" TargetMode="External"/><Relationship Id="rId11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3" Type="http://schemas.openxmlformats.org/officeDocument/2006/relationships/hyperlink" Target="https://www.jstor.org/stable/181297" TargetMode="External"/><Relationship Id="rId154" Type="http://schemas.openxmlformats.org/officeDocument/2006/relationships/hyperlink" Target="https://www.cambridge.org/core/journals/journal-of-african-history/article/radiocarbon-dates-for-subsaharan-africa-vi/761DEFDD494FDAB6CCA5D3D89212117E" TargetMode="External"/><Relationship Id="rId175" Type="http://schemas.openxmlformats.org/officeDocument/2006/relationships/hyperlink" Target="https://ebookcentral.proquest.com/lib/cam/reader.action?docID=4865484" TargetMode="External"/><Relationship Id="rId196" Type="http://schemas.openxmlformats.org/officeDocument/2006/relationships/hyperlink" Target="https://kups.ub.uni-koeln.de/10885/" TargetMode="External"/><Relationship Id="rId200" Type="http://schemas.openxmlformats.org/officeDocument/2006/relationships/hyperlink" Target="https://kups.ub.uni-koeln.de/10885/" TargetMode="External"/><Relationship Id="rId16" Type="http://schemas.openxmlformats.org/officeDocument/2006/relationships/hyperlink" Target="https://www.jstor.org/stable/180964" TargetMode="External"/><Relationship Id="rId221" Type="http://schemas.openxmlformats.org/officeDocument/2006/relationships/hyperlink" Target="https://link.springer.com/article/10.1007/s10437-021-09440-y" TargetMode="External"/><Relationship Id="rId37" Type="http://schemas.openxmlformats.org/officeDocument/2006/relationships/hyperlink" Target="https://www.jstor.org/stable/180964" TargetMode="External"/><Relationship Id="rId58" Type="http://schemas.openxmlformats.org/officeDocument/2006/relationships/hyperlink" Target="https://www.cambridge.org/core/journals/journal-of-african-history/article/radiocarbon-dates-for-subsaharan-africaiv/58A6CD02A3A05C3456F509A65D6B7BE3"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jstor.org/stable/pdf/24520285.pdf" TargetMode="External"/><Relationship Id="rId123" Type="http://schemas.openxmlformats.org/officeDocument/2006/relationships/hyperlink" Target="https://www.cambridge.org/core/journals/journal-of-african-history/article/radiocarbon-dates-for-subsaharan-africa-v/5513115DB13AC46B61F2F3B3BD25A841" TargetMode="External"/><Relationship Id="rId144" Type="http://schemas.openxmlformats.org/officeDocument/2006/relationships/hyperlink" Target="https://www.cambridge.org/core/journals/journal-of-african-history/article/some-recent-radiocarbon-dates-from-eastern-and-southern-africa/69145CE18F5E9D6A7370640EFFBD7406" TargetMode="External"/><Relationship Id="rId90" Type="http://schemas.openxmlformats.org/officeDocument/2006/relationships/hyperlink" Target="https://www.jstor.org/stable/pdf/24520285.pdf" TargetMode="External"/><Relationship Id="rId165" Type="http://schemas.openxmlformats.org/officeDocument/2006/relationships/hyperlink" Target="https://repositorio.ul.pt/handle/10451/9791" TargetMode="External"/><Relationship Id="rId186" Type="http://schemas.openxmlformats.org/officeDocument/2006/relationships/hyperlink" Target="https://kups.ub.uni-koeln.de/10885/" TargetMode="External"/><Relationship Id="rId211" Type="http://schemas.openxmlformats.org/officeDocument/2006/relationships/hyperlink" Target="https://www.cambridge.org/core/journals/journal-of-african-history/article/archaeology-in-eastern-africa-an-overview-of-current-chronological-issues/5E374A8070A33D72EA4A569227347E02" TargetMode="External"/><Relationship Id="rId232" Type="http://schemas.openxmlformats.org/officeDocument/2006/relationships/hyperlink" Target="https://www.jstor.org/stable/pdf/24520285.pdf" TargetMode="External"/><Relationship Id="rId27" Type="http://schemas.openxmlformats.org/officeDocument/2006/relationships/hyperlink" Target="https://www.jstor.org/stable/180964" TargetMode="External"/><Relationship Id="rId48" Type="http://schemas.openxmlformats.org/officeDocument/2006/relationships/hyperlink" Target="https://www.cambridge.org/core/journals/journal-of-african-history/article/radiocarbon-dates-for-subsaharan-africa-from-c-1000-bciii/8BA42138F4602DFE0ABBAB3DE337AF97"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4" Type="http://schemas.openxmlformats.org/officeDocument/2006/relationships/hyperlink" Target="https://www.jstor.org/stable/181297"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www.tandfonline.com/doi/pdf/10.1080/00672700509480417" TargetMode="External"/><Relationship Id="rId176" Type="http://schemas.openxmlformats.org/officeDocument/2006/relationships/hyperlink" Target="https://ebookcentral.proquest.com/lib/cam/reader.action?docID=4865484" TargetMode="External"/><Relationship Id="rId197" Type="http://schemas.openxmlformats.org/officeDocument/2006/relationships/hyperlink" Target="https://kups.ub.uni-koeln.de/10885/" TargetMode="External"/><Relationship Id="rId201" Type="http://schemas.openxmlformats.org/officeDocument/2006/relationships/hyperlink" Target="https://kups.ub.uni-koeln.de/10885/" TargetMode="External"/><Relationship Id="rId222" Type="http://schemas.openxmlformats.org/officeDocument/2006/relationships/hyperlink" Target="https://link.springer.com/article/10.1007/s10437-021-09440-y"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cambridge.org/core/journals/journal-of-african-history/article/radiocarbon-dates-for-subsaharan-africaiv/58A6CD02A3A05C3456F509A65D6B7BE3" TargetMode="External"/><Relationship Id="rId103" Type="http://schemas.openxmlformats.org/officeDocument/2006/relationships/hyperlink" Target="https://www.jstor.org/stable/pdf/24520285.pdf" TargetMode="External"/><Relationship Id="rId124" Type="http://schemas.openxmlformats.org/officeDocument/2006/relationships/hyperlink" Target="https://www.cambridge.org/core/journals/journal-of-african-history/article/radiocarbon-dates-for-subsaharan-africa-v/5513115DB13AC46B61F2F3B3BD25A841"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jstor.org/stable/pdf/24520285.pdf" TargetMode="External"/><Relationship Id="rId145" Type="http://schemas.openxmlformats.org/officeDocument/2006/relationships/hyperlink" Target="https://www.cambridge.org/core/journals/journal-of-african-history/article/some-recent-radiocarbon-dates-from-eastern-and-southern-africa/69145CE18F5E9D6A7370640EFFBD7406" TargetMode="External"/><Relationship Id="rId166" Type="http://schemas.openxmlformats.org/officeDocument/2006/relationships/hyperlink" Target="https://www.diva-portal.org/smash/record.jsf?pid=diva2%3A862495&amp;dswid=-6526" TargetMode="External"/><Relationship Id="rId187" Type="http://schemas.openxmlformats.org/officeDocument/2006/relationships/hyperlink" Target="https://kups.ub.uni-koeln.de/10885/" TargetMode="External"/><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tandfonline.com/doi/abs/10.1080/00672709109511424" TargetMode="External"/><Relationship Id="rId233" Type="http://schemas.openxmlformats.org/officeDocument/2006/relationships/printerSettings" Target="../printerSettings/printerSettings2.bin"/><Relationship Id="rId28" Type="http://schemas.openxmlformats.org/officeDocument/2006/relationships/hyperlink" Target="https://www.jstor.org/stable/180964" TargetMode="External"/><Relationship Id="rId49" Type="http://schemas.openxmlformats.org/officeDocument/2006/relationships/hyperlink" Target="https://www.cambridge.org/core/journals/journal-of-african-history/article/radiocarbon-dates-for-subsaharan-africa-from-c-1000-bciii/8BA42138F4602DFE0ABBAB3DE337AF97" TargetMode="External"/><Relationship Id="rId11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60" Type="http://schemas.openxmlformats.org/officeDocument/2006/relationships/hyperlink" Target="https://www.cambridge.org/core/journals/journal-of-african-history/article/radiocarbon-dates-for-subsaharan-africaiv/58A6CD02A3A05C3456F509A65D6B7BE3"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jstor.org/stable/181297" TargetMode="External"/><Relationship Id="rId156" Type="http://schemas.openxmlformats.org/officeDocument/2006/relationships/hyperlink" Target="https://www.tandfonline.com/doi/pdf/10.1080/00672700509480417" TargetMode="External"/><Relationship Id="rId177" Type="http://schemas.openxmlformats.org/officeDocument/2006/relationships/hyperlink" Target="https://ebookcentral.proquest.com/lib/cam/reader.action?docID=4865484" TargetMode="External"/><Relationship Id="rId198" Type="http://schemas.openxmlformats.org/officeDocument/2006/relationships/hyperlink" Target="https://kups.ub.uni-koeln.de/10885/" TargetMode="External"/><Relationship Id="rId202" Type="http://schemas.openxmlformats.org/officeDocument/2006/relationships/hyperlink" Target="https://kups.ub.uni-koeln.de/10885/" TargetMode="External"/><Relationship Id="rId223" Type="http://schemas.openxmlformats.org/officeDocument/2006/relationships/hyperlink" Target="https://link.springer.com/article/10.1007/s10437-021-09440-y"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50" Type="http://schemas.openxmlformats.org/officeDocument/2006/relationships/hyperlink" Target="https://www.cambridge.org/core/journals/journal-of-african-history/article/radiocarbon-dates-for-subsaharan-africa-from-c-1000-bciii/8BA42138F4602DFE0ABBAB3DE337AF97" TargetMode="External"/><Relationship Id="rId10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5" Type="http://schemas.openxmlformats.org/officeDocument/2006/relationships/hyperlink" Target="https://www.cambridge.org/core/journals/journal-of-african-history/article/radiocarbon-dates-for-subsaharan-africa-v/5513115DB13AC46B61F2F3B3BD25A841" TargetMode="External"/><Relationship Id="rId146" Type="http://schemas.openxmlformats.org/officeDocument/2006/relationships/hyperlink" Target="https://www.cambridge.org/core/journals/journal-of-african-history/article/new-radiocarbon-dates-for-eastern-and-southern-africa/141E1E0F1EEECBCFCBD22432B197CCBD" TargetMode="External"/><Relationship Id="rId167" Type="http://schemas.openxmlformats.org/officeDocument/2006/relationships/hyperlink" Target="https://www.diva-portal.org/smash/record.jsf?pid=diva2%3A862495&amp;dswid=-6526" TargetMode="External"/><Relationship Id="rId188" Type="http://schemas.openxmlformats.org/officeDocument/2006/relationships/hyperlink" Target="https://kups.ub.uni-koeln.de/10885/"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jstor.org/stable/pdf/24520285.pdf" TargetMode="External"/><Relationship Id="rId213" Type="http://schemas.openxmlformats.org/officeDocument/2006/relationships/hyperlink" Target="https://www.tandfonline.com/doi/abs/10.1080/00672709109511424"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jstor.org/stable/180964" TargetMode="External"/><Relationship Id="rId40" Type="http://schemas.openxmlformats.org/officeDocument/2006/relationships/hyperlink" Target="https://www.jstor.org/stable/3889287" TargetMode="External"/><Relationship Id="rId115" Type="http://schemas.openxmlformats.org/officeDocument/2006/relationships/hyperlink" Target="https://www.cambridge.org/core/journals/radiocarbon/article/riken-natural-radiocarbon-measurements-iv/13DBB5869D40361CB40CF3E49731E54D" TargetMode="External"/><Relationship Id="rId136" Type="http://schemas.openxmlformats.org/officeDocument/2006/relationships/hyperlink" Target="https://www.jstor.org/stable/181297" TargetMode="External"/><Relationship Id="rId157" Type="http://schemas.openxmlformats.org/officeDocument/2006/relationships/hyperlink" Target="https://www.tandfonline.com/doi/pdf/10.1080/00672700509480417" TargetMode="External"/><Relationship Id="rId178" Type="http://schemas.openxmlformats.org/officeDocument/2006/relationships/hyperlink" Target="https://ebookcentral.proquest.com/lib/cam/reader.action?docID=4865484" TargetMode="External"/><Relationship Id="rId61" Type="http://schemas.openxmlformats.org/officeDocument/2006/relationships/hyperlink" Target="https://www.cambridge.org/core/journals/journal-of-african-history/article/radiocarbon-dates-for-subsaharan-africaiv/58A6CD02A3A05C3456F509A65D6B7BE3"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kups.ub.uni-koeln.de/10885/" TargetMode="External"/><Relationship Id="rId203" Type="http://schemas.openxmlformats.org/officeDocument/2006/relationships/hyperlink" Target="https://kups.ub.uni-koeln.de/10885/" TargetMode="External"/><Relationship Id="rId19" Type="http://schemas.openxmlformats.org/officeDocument/2006/relationships/hyperlink" Target="https://www.jstor.org/stable/180964" TargetMode="External"/><Relationship Id="rId224" Type="http://schemas.openxmlformats.org/officeDocument/2006/relationships/hyperlink" Target="https://link.springer.com/article/10.1007/s10437-021-09440-y" TargetMode="External"/><Relationship Id="rId30" Type="http://schemas.openxmlformats.org/officeDocument/2006/relationships/hyperlink" Target="https://www.jstor.org/stable/180964" TargetMode="External"/><Relationship Id="rId10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6" Type="http://schemas.openxmlformats.org/officeDocument/2006/relationships/hyperlink" Target="https://www.cambridge.org/core/journals/journal-of-african-history/article/archaeology-in-eastern-africa-recent-developments-and-more-dates1/24BC2862EAA2CFB48AF4CF509DF89564" TargetMode="External"/><Relationship Id="rId147" Type="http://schemas.openxmlformats.org/officeDocument/2006/relationships/hyperlink" Target="https://www.cambridge.org/core/journals/journal-of-african-history/article/radiocarbon-dates-for-subsaharan-africa-vi/761DEFDD494FDAB6CCA5D3D89212117E" TargetMode="External"/><Relationship Id="rId168" Type="http://schemas.openxmlformats.org/officeDocument/2006/relationships/hyperlink" Target="https://www.cambridge.org/core/journals/journal-of-african-history/article/new-radiocarbon-dates-for-eastern-and-southern-africa/141E1E0F1EEECBCFCBD22432B197CCBD" TargetMode="External"/><Relationship Id="rId51" Type="http://schemas.openxmlformats.org/officeDocument/2006/relationships/hyperlink" Target="https://www.cambridge.org/core/journals/journal-of-african-history/article/radiocarbon-dates-for-subsaharan-africa-from-c-1000-bciii/8BA42138F4602DFE0ABBAB3DE337AF97"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jstor.org/stable/pdf/24520285.pdf" TargetMode="External"/><Relationship Id="rId189" Type="http://schemas.openxmlformats.org/officeDocument/2006/relationships/hyperlink" Target="https://kups.ub.uni-koeln.de/10885/"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tandfonline.com/doi/abs/10.1080/00672709109511424" TargetMode="External"/><Relationship Id="rId116" Type="http://schemas.openxmlformats.org/officeDocument/2006/relationships/hyperlink" Target="https://www.cambridge.org/core/journals/radiocarbon/article/riken-natural-radiocarbon-measurements-iv/13DBB5869D40361CB40CF3E49731E54D" TargetMode="External"/><Relationship Id="rId137" Type="http://schemas.openxmlformats.org/officeDocument/2006/relationships/hyperlink" Target="https://www.jstor.org/stable/181297" TargetMode="External"/><Relationship Id="rId158" Type="http://schemas.openxmlformats.org/officeDocument/2006/relationships/hyperlink" Target="https://www.tandfonline.com/doi/pdf/10.1080/00672700509480417"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ambridge.org/core/journals/radiocarbon/article/riken-natural-radiocarbon-measurements-v/D3E50308F390E3E12F6BF604E5EBFC9E" TargetMode="External"/><Relationship Id="rId13" Type="http://schemas.openxmlformats.org/officeDocument/2006/relationships/hyperlink" Target="https://www.cambridge.org/core/journals/journal-of-african-history/article/new-radiocarbon-dates-for-eastern-and-southern-africa/141E1E0F1EEECBCFCBD22432B197CCBD" TargetMode="External"/><Relationship Id="rId18" Type="http://schemas.openxmlformats.org/officeDocument/2006/relationships/hyperlink" Target="https://www.diva-portal.org/smash/record.jsf?pid=diva2%3A862495&amp;dswid=-6526" TargetMode="External"/><Relationship Id="rId26" Type="http://schemas.openxmlformats.org/officeDocument/2006/relationships/hyperlink" Target="https://www.jstor.org/stable/2844428" TargetMode="External"/><Relationship Id="rId3" Type="http://schemas.openxmlformats.org/officeDocument/2006/relationships/hyperlink" Target="https://www.jstor.org/stable/pdf/24520285.pdf" TargetMode="External"/><Relationship Id="rId21" Type="http://schemas.openxmlformats.org/officeDocument/2006/relationships/hyperlink" Target="https://www.cambridge.org/core/journals/radiocarbon/article/rhodesian-radiocarbon-measurements-iv/B0EAE0D1B9B9B543CDE517F02495B5C9" TargetMode="External"/><Relationship Id="rId7" Type="http://schemas.openxmlformats.org/officeDocument/2006/relationships/hyperlink" Target="https://www.cambridge.org/core/journals/radiocarbon/article/riken-natural-radiocarbon-measurements-viii/09004EA1B98B383286599B3B6C414027" TargetMode="External"/><Relationship Id="rId12" Type="http://schemas.openxmlformats.org/officeDocument/2006/relationships/hyperlink" Target="https://www.cambridge.org/core/journals/journal-of-african-history/article/some-recent-radiocarbon-dates-from-eastern-and-southern-africa/69145CE18F5E9D6A7370640EFFBD7406" TargetMode="External"/><Relationship Id="rId17" Type="http://schemas.openxmlformats.org/officeDocument/2006/relationships/hyperlink" Target="https://repositorio.ul.pt/handle/10451/9791" TargetMode="External"/><Relationship Id="rId25" Type="http://schemas.openxmlformats.org/officeDocument/2006/relationships/hyperlink" Target="https://link.springer.com/article/10.1007/s10437-021-09440-y" TargetMode="External"/><Relationship Id="rId2" Type="http://schemas.openxmlformats.org/officeDocument/2006/relationships/hyperlink" Target="https://www.cambridge.org/core/services/aop-cambridge-core/content/view/58A6CD02A3A05C3456F509A65D6B7BE3/S002185370000654Xa.pdf/radiocarbon-dates-for-sub-saharan-africaiv.pdf" TargetMode="External"/><Relationship Id="rId16" Type="http://schemas.openxmlformats.org/officeDocument/2006/relationships/hyperlink" Target="https://www.cambridge.org/core/journals/radiocarbon/article/pretoria-radiocarbon-dates-iii/469F44D9DB5C543B6285300463751FF4" TargetMode="External"/><Relationship Id="rId20" Type="http://schemas.openxmlformats.org/officeDocument/2006/relationships/hyperlink" Target="https://ebookcentral.proquest.com/lib/cam/reader.action?docID=4865484" TargetMode="External"/><Relationship Id="rId1" Type="http://schemas.openxmlformats.org/officeDocument/2006/relationships/hyperlink" Target="https://www.cambridge.org/core/journals/journal-of-african-history/article/radiocarbon-dates-for-subsaharan-africa-from-c-1000-bciii/8BA42138F4602DFE0ABBAB3DE337AF97" TargetMode="External"/><Relationship Id="rId6" Type="http://schemas.openxmlformats.org/officeDocument/2006/relationships/hyperlink" Target="https://www.cambridge.org/core/journals/radiocarbon/article/riken-natural-radiocarbon-measurements-iv/13DBB5869D40361CB40CF3E49731E54D" TargetMode="External"/><Relationship Id="rId11" Type="http://schemas.openxmlformats.org/officeDocument/2006/relationships/hyperlink" Target="https://www.jstor.org/stable/181297" TargetMode="External"/><Relationship Id="rId24" Type="http://schemas.openxmlformats.org/officeDocument/2006/relationships/hyperlink" Target="https://www.tandfonline.com/doi/abs/10.1080/00672707209511559" TargetMode="External"/><Relationship Id="rId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 Type="http://schemas.openxmlformats.org/officeDocument/2006/relationships/hyperlink" Target="https://www.cambridge.org/core/journals/journal-of-african-history/article/radiocarbon-dates-for-subsaharan-africa-vi/761DEFDD494FDAB6CCA5D3D89212117E" TargetMode="External"/><Relationship Id="rId23" Type="http://schemas.openxmlformats.org/officeDocument/2006/relationships/hyperlink" Target="https://www.tandfonline.com/doi/abs/10.1080/00672709109511424" TargetMode="External"/><Relationship Id="rId10" Type="http://schemas.openxmlformats.org/officeDocument/2006/relationships/hyperlink" Target="https://www.cambridge.org/core/journals/journal-of-african-history/article/archaeology-in-eastern-africa-recent-developments-and-more-dates1/24BC2862EAA2CFB48AF4CF509DF89564" TargetMode="External"/><Relationship Id="rId19" Type="http://schemas.openxmlformats.org/officeDocument/2006/relationships/hyperlink" Target="https://www.cambridge.org/core/journals/journal-of-african-history/article/new-radiocarbon-dates-for-eastern-and-southern-africa/23592DD5A0BBA1171C9D4A31EB85319D" TargetMode="External"/><Relationship Id="rId4" Type="http://schemas.openxmlformats.org/officeDocument/2006/relationships/hyperlink" Target="https://www.cambridge.org/core/journals/journal-of-african-history/article/radiocarbon-dates-for-subsaharan-africa-from-c-1000-bcii/B7A7A482DAF59EDF58C222431D4EE924" TargetMode="External"/><Relationship Id="rId9" Type="http://schemas.openxmlformats.org/officeDocument/2006/relationships/hyperlink" Target="https://www.cambridge.org/core/journals/journal-of-african-history/article/radiocarbon-dates-for-subsaharan-africa-v/5513115DB13AC46B61F2F3B3BD25A841" TargetMode="External"/><Relationship Id="rId14" Type="http://schemas.openxmlformats.org/officeDocument/2006/relationships/hyperlink" Target="https://www.cambridge.org/core/journals/radiocarbon/article/riken-natural-radiocarbon-measurements-vii/30754EE716DD08987654706E85F6596E" TargetMode="External"/><Relationship Id="rId22" Type="http://schemas.openxmlformats.org/officeDocument/2006/relationships/hyperlink" Target="https://www.cambridge.org/core/journals/journal-of-african-history/article/archaeology-in-eastern-africa-an-overview-of-current-chronological-issues/5E374A8070A33D72EA4A569227347E02" TargetMode="External"/><Relationship Id="rId27" Type="http://schemas.openxmlformats.org/officeDocument/2006/relationships/hyperlink" Target="https://www.cambridge.org/core/journals/radiocarbon/article/rhodesian-radiocarbon-measurements-v/B33B5DE78FB0FCC2869EA67196EA1A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402B2-C048-4370-AA2B-6532C5727951}">
  <dimension ref="A1:U235"/>
  <sheetViews>
    <sheetView tabSelected="1" workbookViewId="0">
      <pane ySplit="1" topLeftCell="A221" activePane="bottomLeft" state="frozen"/>
      <selection pane="bottomLeft" activeCell="F236" sqref="F236"/>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x14ac:dyDescent="0.3">
      <c r="A9" t="s">
        <v>48</v>
      </c>
      <c r="B9">
        <v>1800</v>
      </c>
      <c r="C9">
        <v>80</v>
      </c>
      <c r="D9" t="s">
        <v>25</v>
      </c>
      <c r="H9">
        <v>20.67</v>
      </c>
      <c r="I9">
        <v>-7.37</v>
      </c>
      <c r="K9" t="s">
        <v>38</v>
      </c>
      <c r="M9" t="s">
        <v>51</v>
      </c>
      <c r="N9" t="s">
        <v>50</v>
      </c>
      <c r="P9" t="s">
        <v>39</v>
      </c>
      <c r="Q9" t="s">
        <v>49</v>
      </c>
      <c r="R9" t="s">
        <v>53</v>
      </c>
      <c r="S9" s="2" t="s">
        <v>52</v>
      </c>
      <c r="T9" t="s">
        <v>54</v>
      </c>
    </row>
    <row r="10" spans="1:20" x14ac:dyDescent="0.3">
      <c r="A10" t="s">
        <v>60</v>
      </c>
      <c r="B10">
        <v>1190</v>
      </c>
      <c r="C10">
        <v>80</v>
      </c>
      <c r="D10" t="s">
        <v>25</v>
      </c>
      <c r="H10">
        <v>20.5</v>
      </c>
      <c r="I10">
        <v>-7.37</v>
      </c>
      <c r="K10" t="s">
        <v>38</v>
      </c>
      <c r="M10" t="s">
        <v>59</v>
      </c>
      <c r="N10" t="s">
        <v>50</v>
      </c>
      <c r="P10" t="s">
        <v>39</v>
      </c>
      <c r="R10" t="s">
        <v>69</v>
      </c>
      <c r="S10" s="2" t="s">
        <v>68</v>
      </c>
      <c r="T10" t="s">
        <v>72</v>
      </c>
    </row>
    <row r="11" spans="1:20" x14ac:dyDescent="0.3">
      <c r="A11" t="s">
        <v>57</v>
      </c>
      <c r="B11">
        <v>1010</v>
      </c>
      <c r="C11">
        <v>80</v>
      </c>
      <c r="D11" t="s">
        <v>25</v>
      </c>
      <c r="H11">
        <v>20.85</v>
      </c>
      <c r="I11">
        <v>-7.47</v>
      </c>
      <c r="K11" t="s">
        <v>38</v>
      </c>
      <c r="M11" t="s">
        <v>61</v>
      </c>
      <c r="N11" t="s">
        <v>50</v>
      </c>
      <c r="P11" t="s">
        <v>39</v>
      </c>
      <c r="R11" t="s">
        <v>69</v>
      </c>
      <c r="S11" s="2" t="s">
        <v>70</v>
      </c>
      <c r="T11" t="s">
        <v>73</v>
      </c>
    </row>
    <row r="12" spans="1:20" x14ac:dyDescent="0.3">
      <c r="A12" t="s">
        <v>65</v>
      </c>
      <c r="B12">
        <v>800</v>
      </c>
      <c r="C12">
        <v>80</v>
      </c>
      <c r="D12" t="s">
        <v>25</v>
      </c>
      <c r="H12">
        <v>20.47</v>
      </c>
      <c r="I12">
        <v>-7.6</v>
      </c>
      <c r="K12" t="s">
        <v>38</v>
      </c>
      <c r="M12" t="s">
        <v>64</v>
      </c>
      <c r="N12" t="s">
        <v>50</v>
      </c>
      <c r="P12" t="s">
        <v>39</v>
      </c>
      <c r="R12" t="s">
        <v>69</v>
      </c>
      <c r="S12" s="2" t="s">
        <v>71</v>
      </c>
      <c r="T12" t="s">
        <v>72</v>
      </c>
    </row>
    <row r="13" spans="1:20" x14ac:dyDescent="0.3">
      <c r="A13" t="s">
        <v>66</v>
      </c>
      <c r="B13">
        <v>465</v>
      </c>
      <c r="C13">
        <v>80</v>
      </c>
      <c r="D13" t="s">
        <v>25</v>
      </c>
      <c r="H13">
        <v>19.170000000000002</v>
      </c>
      <c r="I13">
        <v>-10.83</v>
      </c>
      <c r="K13" t="s">
        <v>38</v>
      </c>
      <c r="M13" t="s">
        <v>67</v>
      </c>
      <c r="N13" t="s">
        <v>50</v>
      </c>
      <c r="P13" t="s">
        <v>39</v>
      </c>
      <c r="Q13" t="s">
        <v>49</v>
      </c>
      <c r="R13" t="s">
        <v>69</v>
      </c>
      <c r="S13" s="2" t="s">
        <v>68</v>
      </c>
      <c r="T13" t="s">
        <v>73</v>
      </c>
    </row>
    <row r="14" spans="1:20" x14ac:dyDescent="0.3">
      <c r="A14" t="s">
        <v>79</v>
      </c>
      <c r="B14">
        <v>1295</v>
      </c>
      <c r="C14">
        <v>140</v>
      </c>
      <c r="D14" t="s">
        <v>25</v>
      </c>
      <c r="H14">
        <v>36.15</v>
      </c>
      <c r="I14">
        <v>-0.83</v>
      </c>
      <c r="K14" t="s">
        <v>38</v>
      </c>
      <c r="M14" t="s">
        <v>76</v>
      </c>
      <c r="N14" t="s">
        <v>27</v>
      </c>
      <c r="P14" t="s">
        <v>39</v>
      </c>
      <c r="Q14" t="s">
        <v>49</v>
      </c>
      <c r="R14" t="s">
        <v>78</v>
      </c>
      <c r="S14" s="2" t="s">
        <v>77</v>
      </c>
      <c r="T14" t="s">
        <v>82</v>
      </c>
    </row>
    <row r="15" spans="1:20" x14ac:dyDescent="0.3">
      <c r="A15" t="s">
        <v>80</v>
      </c>
      <c r="B15">
        <v>500</v>
      </c>
      <c r="C15">
        <v>145</v>
      </c>
      <c r="D15" t="s">
        <v>25</v>
      </c>
      <c r="H15">
        <v>36.15</v>
      </c>
      <c r="I15">
        <v>-0.83</v>
      </c>
      <c r="K15" t="s">
        <v>38</v>
      </c>
      <c r="M15" t="s">
        <v>76</v>
      </c>
      <c r="N15" t="s">
        <v>27</v>
      </c>
      <c r="P15" t="s">
        <v>39</v>
      </c>
      <c r="R15" t="s">
        <v>78</v>
      </c>
      <c r="S15" s="2" t="s">
        <v>77</v>
      </c>
      <c r="T15" t="s">
        <v>81</v>
      </c>
    </row>
    <row r="16" spans="1:20" x14ac:dyDescent="0.3">
      <c r="A16" t="s">
        <v>86</v>
      </c>
      <c r="B16">
        <v>1580</v>
      </c>
      <c r="C16">
        <v>70</v>
      </c>
      <c r="H16">
        <v>34.18</v>
      </c>
      <c r="I16">
        <v>-14.27</v>
      </c>
      <c r="K16" t="s">
        <v>38</v>
      </c>
      <c r="M16" t="s">
        <v>83</v>
      </c>
      <c r="N16" t="s">
        <v>90</v>
      </c>
      <c r="P16" t="s">
        <v>39</v>
      </c>
      <c r="Q16" t="s">
        <v>49</v>
      </c>
      <c r="R16" t="s">
        <v>88</v>
      </c>
      <c r="S16" s="2" t="s">
        <v>87</v>
      </c>
      <c r="T16" t="s">
        <v>84</v>
      </c>
    </row>
    <row r="17" spans="1:20" x14ac:dyDescent="0.3">
      <c r="A17" t="s">
        <v>85</v>
      </c>
      <c r="B17">
        <v>1680</v>
      </c>
      <c r="C17">
        <v>50</v>
      </c>
      <c r="H17">
        <v>34.18</v>
      </c>
      <c r="I17">
        <v>-14.27</v>
      </c>
      <c r="K17" t="s">
        <v>38</v>
      </c>
      <c r="M17" t="s">
        <v>83</v>
      </c>
      <c r="N17" t="s">
        <v>90</v>
      </c>
      <c r="P17" t="s">
        <v>39</v>
      </c>
      <c r="Q17" t="s">
        <v>49</v>
      </c>
      <c r="R17" t="s">
        <v>89</v>
      </c>
      <c r="S17" s="2" t="s">
        <v>87</v>
      </c>
      <c r="T17" t="s">
        <v>84</v>
      </c>
    </row>
    <row r="18" spans="1:20" x14ac:dyDescent="0.3">
      <c r="A18" t="s">
        <v>97</v>
      </c>
      <c r="B18">
        <v>120</v>
      </c>
      <c r="C18">
        <v>50</v>
      </c>
      <c r="D18" t="s">
        <v>25</v>
      </c>
      <c r="H18">
        <v>21.322299999999998</v>
      </c>
      <c r="I18">
        <v>-18.137799999999999</v>
      </c>
      <c r="K18" t="s">
        <v>498</v>
      </c>
      <c r="M18" t="s">
        <v>99</v>
      </c>
      <c r="N18" t="s">
        <v>98</v>
      </c>
      <c r="P18" t="s">
        <v>39</v>
      </c>
      <c r="Q18" t="s">
        <v>49</v>
      </c>
      <c r="R18" t="s">
        <v>100</v>
      </c>
      <c r="S18" s="2" t="s">
        <v>101</v>
      </c>
      <c r="T18" t="s">
        <v>102</v>
      </c>
    </row>
    <row r="19" spans="1:20" x14ac:dyDescent="0.3">
      <c r="A19" t="s">
        <v>103</v>
      </c>
      <c r="B19">
        <v>320</v>
      </c>
      <c r="C19">
        <v>45</v>
      </c>
      <c r="H19" s="13">
        <v>19.856400000000001</v>
      </c>
      <c r="I19">
        <v>-17.883800000000001</v>
      </c>
      <c r="K19" t="s">
        <v>498</v>
      </c>
      <c r="M19" t="s">
        <v>105</v>
      </c>
      <c r="N19" t="s">
        <v>98</v>
      </c>
      <c r="P19" t="s">
        <v>39</v>
      </c>
      <c r="Q19" t="s">
        <v>49</v>
      </c>
      <c r="R19" t="s">
        <v>100</v>
      </c>
      <c r="S19" s="2" t="s">
        <v>155</v>
      </c>
      <c r="T19" t="s">
        <v>547</v>
      </c>
    </row>
    <row r="20" spans="1:20" x14ac:dyDescent="0.3">
      <c r="A20" t="s">
        <v>104</v>
      </c>
      <c r="B20">
        <v>1110</v>
      </c>
      <c r="C20">
        <v>50</v>
      </c>
      <c r="H20" s="13">
        <v>19.567299999999999</v>
      </c>
      <c r="I20">
        <v>-17.875399999999999</v>
      </c>
      <c r="K20" t="s">
        <v>38</v>
      </c>
      <c r="M20" t="s">
        <v>106</v>
      </c>
      <c r="N20" t="s">
        <v>98</v>
      </c>
      <c r="P20" t="s">
        <v>39</v>
      </c>
      <c r="Q20" t="s">
        <v>49</v>
      </c>
      <c r="R20" t="s">
        <v>100</v>
      </c>
      <c r="S20" s="2" t="s">
        <v>155</v>
      </c>
      <c r="T20" t="s">
        <v>546</v>
      </c>
    </row>
    <row r="21" spans="1:20" x14ac:dyDescent="0.3">
      <c r="A21" t="s">
        <v>116</v>
      </c>
      <c r="B21">
        <v>1660</v>
      </c>
      <c r="C21">
        <v>125</v>
      </c>
      <c r="H21">
        <v>32.200000000000003</v>
      </c>
      <c r="I21">
        <v>2.25</v>
      </c>
      <c r="K21" t="s">
        <v>38</v>
      </c>
      <c r="M21" t="s">
        <v>117</v>
      </c>
      <c r="N21" t="s">
        <v>118</v>
      </c>
      <c r="P21" t="s">
        <v>39</v>
      </c>
      <c r="Q21" t="s">
        <v>49</v>
      </c>
      <c r="R21" t="s">
        <v>100</v>
      </c>
      <c r="S21" s="2" t="s">
        <v>155</v>
      </c>
      <c r="T21" t="s">
        <v>119</v>
      </c>
    </row>
    <row r="22" spans="1:20" x14ac:dyDescent="0.3">
      <c r="A22" t="s">
        <v>125</v>
      </c>
      <c r="B22">
        <v>2399</v>
      </c>
      <c r="C22">
        <v>115</v>
      </c>
      <c r="H22">
        <v>31.77</v>
      </c>
      <c r="I22">
        <v>-1.45</v>
      </c>
      <c r="K22" t="s">
        <v>38</v>
      </c>
      <c r="M22" t="s">
        <v>127</v>
      </c>
      <c r="N22" t="s">
        <v>128</v>
      </c>
      <c r="P22" t="s">
        <v>39</v>
      </c>
      <c r="Q22" t="s">
        <v>49</v>
      </c>
      <c r="R22" t="s">
        <v>100</v>
      </c>
      <c r="S22" s="2" t="s">
        <v>132</v>
      </c>
      <c r="T22" t="s">
        <v>124</v>
      </c>
    </row>
    <row r="23" spans="1:20" x14ac:dyDescent="0.3">
      <c r="A23" t="s">
        <v>126</v>
      </c>
      <c r="B23">
        <v>2499</v>
      </c>
      <c r="C23">
        <v>115</v>
      </c>
      <c r="H23">
        <v>31.77</v>
      </c>
      <c r="I23">
        <v>-1.45</v>
      </c>
      <c r="K23" t="s">
        <v>38</v>
      </c>
      <c r="M23" t="s">
        <v>127</v>
      </c>
      <c r="N23" t="s">
        <v>128</v>
      </c>
      <c r="P23" t="s">
        <v>39</v>
      </c>
      <c r="Q23" t="s">
        <v>49</v>
      </c>
      <c r="R23" t="s">
        <v>100</v>
      </c>
      <c r="S23" s="2" t="s">
        <v>155</v>
      </c>
      <c r="T23" t="s">
        <v>124</v>
      </c>
    </row>
    <row r="24" spans="1:20" x14ac:dyDescent="0.3">
      <c r="A24" t="s">
        <v>129</v>
      </c>
      <c r="B24">
        <v>1890</v>
      </c>
      <c r="C24">
        <v>115</v>
      </c>
      <c r="H24">
        <v>31.77</v>
      </c>
      <c r="I24">
        <v>-1.45</v>
      </c>
      <c r="K24" t="s">
        <v>38</v>
      </c>
      <c r="M24" t="s">
        <v>127</v>
      </c>
      <c r="N24" t="s">
        <v>128</v>
      </c>
      <c r="P24" t="s">
        <v>39</v>
      </c>
      <c r="Q24" t="s">
        <v>49</v>
      </c>
      <c r="R24" t="s">
        <v>100</v>
      </c>
      <c r="S24" s="2" t="s">
        <v>155</v>
      </c>
    </row>
    <row r="25" spans="1:20" x14ac:dyDescent="0.3">
      <c r="A25" t="s">
        <v>130</v>
      </c>
      <c r="B25">
        <v>1830</v>
      </c>
      <c r="C25">
        <v>120</v>
      </c>
      <c r="H25">
        <v>31.77</v>
      </c>
      <c r="I25">
        <v>-1.45</v>
      </c>
      <c r="K25" t="s">
        <v>38</v>
      </c>
      <c r="M25" t="s">
        <v>127</v>
      </c>
      <c r="N25" t="s">
        <v>128</v>
      </c>
      <c r="P25" t="s">
        <v>39</v>
      </c>
      <c r="Q25" t="s">
        <v>49</v>
      </c>
      <c r="R25" t="s">
        <v>100</v>
      </c>
      <c r="S25" s="2" t="s">
        <v>155</v>
      </c>
    </row>
    <row r="26" spans="1:20" x14ac:dyDescent="0.3">
      <c r="A26" t="s">
        <v>131</v>
      </c>
      <c r="B26">
        <v>1780</v>
      </c>
      <c r="C26">
        <v>100</v>
      </c>
      <c r="H26">
        <v>31.77</v>
      </c>
      <c r="I26">
        <v>-1.45</v>
      </c>
      <c r="K26" t="s">
        <v>38</v>
      </c>
      <c r="M26" t="s">
        <v>127</v>
      </c>
      <c r="N26" t="s">
        <v>128</v>
      </c>
      <c r="P26" t="s">
        <v>39</v>
      </c>
      <c r="Q26" t="s">
        <v>49</v>
      </c>
      <c r="R26" t="s">
        <v>100</v>
      </c>
      <c r="S26" s="2" t="s">
        <v>155</v>
      </c>
    </row>
    <row r="27" spans="1:20" x14ac:dyDescent="0.3">
      <c r="A27" t="s">
        <v>134</v>
      </c>
      <c r="B27">
        <v>250</v>
      </c>
      <c r="C27">
        <v>100</v>
      </c>
      <c r="H27">
        <v>31.77</v>
      </c>
      <c r="I27">
        <v>-1.45</v>
      </c>
      <c r="K27" t="s">
        <v>133</v>
      </c>
      <c r="M27" t="s">
        <v>127</v>
      </c>
      <c r="N27" t="s">
        <v>128</v>
      </c>
      <c r="P27" t="s">
        <v>39</v>
      </c>
      <c r="Q27" t="s">
        <v>49</v>
      </c>
      <c r="R27" t="s">
        <v>100</v>
      </c>
      <c r="S27" s="2" t="s">
        <v>155</v>
      </c>
      <c r="T27" t="s">
        <v>154</v>
      </c>
    </row>
    <row r="28" spans="1:20" x14ac:dyDescent="0.3">
      <c r="A28" t="s">
        <v>135</v>
      </c>
      <c r="B28">
        <v>305</v>
      </c>
      <c r="C28">
        <v>120</v>
      </c>
      <c r="H28">
        <v>31.77</v>
      </c>
      <c r="I28">
        <v>-1.45</v>
      </c>
      <c r="K28" t="s">
        <v>133</v>
      </c>
      <c r="M28" t="s">
        <v>127</v>
      </c>
      <c r="N28" t="s">
        <v>128</v>
      </c>
      <c r="P28" t="s">
        <v>39</v>
      </c>
      <c r="Q28" t="s">
        <v>49</v>
      </c>
      <c r="R28" t="s">
        <v>100</v>
      </c>
      <c r="S28" s="2" t="s">
        <v>155</v>
      </c>
      <c r="T28" t="s">
        <v>154</v>
      </c>
    </row>
    <row r="29" spans="1:20" x14ac:dyDescent="0.3">
      <c r="A29" t="s">
        <v>136</v>
      </c>
      <c r="B29">
        <v>2549</v>
      </c>
      <c r="C29">
        <v>100</v>
      </c>
      <c r="H29">
        <v>31.77</v>
      </c>
      <c r="I29">
        <v>-1.45</v>
      </c>
      <c r="K29" t="s">
        <v>38</v>
      </c>
      <c r="M29" t="s">
        <v>127</v>
      </c>
      <c r="N29" t="s">
        <v>128</v>
      </c>
      <c r="P29" t="s">
        <v>39</v>
      </c>
      <c r="Q29" t="s">
        <v>49</v>
      </c>
      <c r="R29" t="s">
        <v>88</v>
      </c>
      <c r="S29" s="2" t="s">
        <v>87</v>
      </c>
      <c r="T29" t="s">
        <v>394</v>
      </c>
    </row>
    <row r="30" spans="1:20" x14ac:dyDescent="0.3">
      <c r="A30" t="s">
        <v>137</v>
      </c>
      <c r="B30">
        <v>2469</v>
      </c>
      <c r="C30">
        <v>110</v>
      </c>
      <c r="H30">
        <v>31.77</v>
      </c>
      <c r="I30">
        <v>-1.45</v>
      </c>
      <c r="K30" t="s">
        <v>38</v>
      </c>
      <c r="M30" t="s">
        <v>127</v>
      </c>
      <c r="N30" t="s">
        <v>128</v>
      </c>
      <c r="P30" t="s">
        <v>39</v>
      </c>
      <c r="Q30" t="s">
        <v>49</v>
      </c>
      <c r="R30" t="s">
        <v>88</v>
      </c>
      <c r="S30" s="2" t="s">
        <v>87</v>
      </c>
      <c r="T30" t="s">
        <v>394</v>
      </c>
    </row>
    <row r="31" spans="1:20" x14ac:dyDescent="0.3">
      <c r="A31" t="s">
        <v>156</v>
      </c>
      <c r="B31">
        <v>1850</v>
      </c>
      <c r="C31">
        <v>50</v>
      </c>
      <c r="H31" s="6">
        <v>28.466999999999999</v>
      </c>
      <c r="I31" s="6">
        <v>-24.1</v>
      </c>
      <c r="K31" t="s">
        <v>141</v>
      </c>
      <c r="M31" t="s">
        <v>157</v>
      </c>
      <c r="N31" t="s">
        <v>158</v>
      </c>
      <c r="P31" t="s">
        <v>39</v>
      </c>
      <c r="R31" t="s">
        <v>159</v>
      </c>
      <c r="S31" s="2" t="s">
        <v>160</v>
      </c>
      <c r="T31" t="s">
        <v>161</v>
      </c>
    </row>
    <row r="32" spans="1:20" x14ac:dyDescent="0.3">
      <c r="A32" t="s">
        <v>390</v>
      </c>
      <c r="B32">
        <v>2259</v>
      </c>
      <c r="C32">
        <v>60</v>
      </c>
      <c r="H32">
        <v>25.12</v>
      </c>
      <c r="I32">
        <v>-16.25</v>
      </c>
      <c r="K32" t="s">
        <v>141</v>
      </c>
      <c r="M32" t="s">
        <v>264</v>
      </c>
      <c r="N32" t="s">
        <v>163</v>
      </c>
      <c r="P32" t="s">
        <v>39</v>
      </c>
      <c r="Q32" t="s">
        <v>49</v>
      </c>
      <c r="R32" t="s">
        <v>391</v>
      </c>
      <c r="S32" s="2" t="s">
        <v>392</v>
      </c>
      <c r="T32" t="s">
        <v>393</v>
      </c>
    </row>
    <row r="33" spans="1:20" x14ac:dyDescent="0.3">
      <c r="A33" t="s">
        <v>162</v>
      </c>
      <c r="B33">
        <v>2100</v>
      </c>
      <c r="C33">
        <v>60</v>
      </c>
      <c r="H33">
        <v>25.12</v>
      </c>
      <c r="I33">
        <v>-16.25</v>
      </c>
      <c r="K33" t="s">
        <v>141</v>
      </c>
      <c r="M33" t="s">
        <v>264</v>
      </c>
      <c r="N33" t="s">
        <v>163</v>
      </c>
      <c r="P33" t="s">
        <v>39</v>
      </c>
      <c r="Q33" t="s">
        <v>49</v>
      </c>
      <c r="R33" t="s">
        <v>164</v>
      </c>
      <c r="S33" s="2" t="s">
        <v>160</v>
      </c>
      <c r="T33" t="s">
        <v>165</v>
      </c>
    </row>
    <row r="34" spans="1:20" x14ac:dyDescent="0.3">
      <c r="A34" t="s">
        <v>166</v>
      </c>
      <c r="B34">
        <v>1930</v>
      </c>
      <c r="C34">
        <v>100</v>
      </c>
      <c r="D34" t="s">
        <v>25</v>
      </c>
      <c r="H34">
        <v>25.12</v>
      </c>
      <c r="I34">
        <v>-16.25</v>
      </c>
      <c r="K34" t="s">
        <v>141</v>
      </c>
      <c r="M34" t="s">
        <v>264</v>
      </c>
      <c r="N34" t="s">
        <v>163</v>
      </c>
      <c r="P34" t="s">
        <v>39</v>
      </c>
      <c r="Q34" t="s">
        <v>49</v>
      </c>
      <c r="R34" t="s">
        <v>168</v>
      </c>
      <c r="S34" s="2" t="s">
        <v>169</v>
      </c>
      <c r="T34" t="s">
        <v>167</v>
      </c>
    </row>
    <row r="35" spans="1:20" x14ac:dyDescent="0.3">
      <c r="A35" t="s">
        <v>172</v>
      </c>
      <c r="B35">
        <v>1854</v>
      </c>
      <c r="C35">
        <v>200</v>
      </c>
      <c r="H35">
        <v>25.12</v>
      </c>
      <c r="I35">
        <v>-16.25</v>
      </c>
      <c r="K35" t="s">
        <v>141</v>
      </c>
      <c r="M35" t="s">
        <v>264</v>
      </c>
      <c r="N35" t="s">
        <v>163</v>
      </c>
      <c r="P35" t="s">
        <v>39</v>
      </c>
      <c r="Q35" t="s">
        <v>49</v>
      </c>
      <c r="R35" t="s">
        <v>171</v>
      </c>
      <c r="S35" s="2" t="s">
        <v>169</v>
      </c>
      <c r="T35" t="s">
        <v>170</v>
      </c>
    </row>
    <row r="36" spans="1:20" x14ac:dyDescent="0.3">
      <c r="A36" t="s">
        <v>230</v>
      </c>
      <c r="B36">
        <v>1710</v>
      </c>
      <c r="C36">
        <v>100</v>
      </c>
      <c r="D36" t="s">
        <v>25</v>
      </c>
      <c r="H36">
        <v>25.12</v>
      </c>
      <c r="I36">
        <v>-16.25</v>
      </c>
      <c r="K36" t="s">
        <v>141</v>
      </c>
      <c r="M36" t="s">
        <v>264</v>
      </c>
      <c r="N36" t="s">
        <v>163</v>
      </c>
      <c r="P36" t="s">
        <v>39</v>
      </c>
      <c r="Q36" t="s">
        <v>49</v>
      </c>
      <c r="R36" t="s">
        <v>222</v>
      </c>
      <c r="S36" s="7" t="s">
        <v>221</v>
      </c>
    </row>
    <row r="37" spans="1:20" x14ac:dyDescent="0.3">
      <c r="A37" t="s">
        <v>175</v>
      </c>
      <c r="B37">
        <v>800</v>
      </c>
      <c r="C37">
        <v>100</v>
      </c>
      <c r="H37">
        <v>25.85</v>
      </c>
      <c r="I37">
        <v>-13.45</v>
      </c>
      <c r="K37" t="s">
        <v>141</v>
      </c>
      <c r="M37" t="s">
        <v>173</v>
      </c>
      <c r="N37" t="s">
        <v>163</v>
      </c>
      <c r="P37" t="s">
        <v>39</v>
      </c>
      <c r="Q37" t="s">
        <v>49</v>
      </c>
      <c r="R37" t="s">
        <v>174</v>
      </c>
      <c r="S37" s="2" t="s">
        <v>169</v>
      </c>
      <c r="T37" t="s">
        <v>176</v>
      </c>
    </row>
    <row r="38" spans="1:20" x14ac:dyDescent="0.3">
      <c r="A38" t="s">
        <v>180</v>
      </c>
      <c r="B38">
        <v>1100</v>
      </c>
      <c r="C38">
        <v>100</v>
      </c>
      <c r="H38">
        <v>31.42</v>
      </c>
      <c r="I38">
        <v>-22.05</v>
      </c>
      <c r="K38" t="s">
        <v>141</v>
      </c>
      <c r="M38" t="s">
        <v>177</v>
      </c>
      <c r="N38" t="s">
        <v>178</v>
      </c>
      <c r="P38" t="s">
        <v>39</v>
      </c>
      <c r="Q38" t="s">
        <v>49</v>
      </c>
      <c r="R38" t="s">
        <v>179</v>
      </c>
      <c r="S38" s="2" t="s">
        <v>169</v>
      </c>
      <c r="T38" t="s">
        <v>181</v>
      </c>
    </row>
    <row r="39" spans="1:20" x14ac:dyDescent="0.3">
      <c r="A39" t="s">
        <v>184</v>
      </c>
      <c r="B39">
        <v>1650</v>
      </c>
      <c r="C39">
        <v>100</v>
      </c>
      <c r="H39">
        <v>32.67</v>
      </c>
      <c r="I39">
        <v>-18.2</v>
      </c>
      <c r="K39" t="s">
        <v>141</v>
      </c>
      <c r="M39" t="s">
        <v>182</v>
      </c>
      <c r="N39" t="s">
        <v>178</v>
      </c>
      <c r="P39" t="s">
        <v>39</v>
      </c>
      <c r="Q39" t="s">
        <v>49</v>
      </c>
      <c r="R39" t="s">
        <v>183</v>
      </c>
      <c r="S39" s="2" t="s">
        <v>169</v>
      </c>
      <c r="T39" t="s">
        <v>185</v>
      </c>
    </row>
    <row r="40" spans="1:20" x14ac:dyDescent="0.3">
      <c r="A40" t="s">
        <v>186</v>
      </c>
      <c r="B40">
        <v>1100</v>
      </c>
      <c r="C40">
        <v>100</v>
      </c>
      <c r="D40" t="s">
        <v>25</v>
      </c>
      <c r="H40">
        <v>32.67</v>
      </c>
      <c r="I40">
        <v>-18.2</v>
      </c>
      <c r="K40" t="s">
        <v>141</v>
      </c>
      <c r="M40" t="s">
        <v>182</v>
      </c>
      <c r="N40" t="s">
        <v>178</v>
      </c>
      <c r="P40" t="s">
        <v>39</v>
      </c>
      <c r="Q40" t="s">
        <v>49</v>
      </c>
      <c r="R40" t="s">
        <v>187</v>
      </c>
      <c r="S40" s="2" t="s">
        <v>169</v>
      </c>
      <c r="T40" t="s">
        <v>188</v>
      </c>
    </row>
    <row r="41" spans="1:20" x14ac:dyDescent="0.3">
      <c r="A41" t="s">
        <v>189</v>
      </c>
      <c r="B41">
        <v>1050</v>
      </c>
      <c r="C41">
        <v>100</v>
      </c>
      <c r="D41" t="s">
        <v>25</v>
      </c>
      <c r="H41">
        <v>32.67</v>
      </c>
      <c r="I41">
        <v>-18.2</v>
      </c>
      <c r="K41" t="s">
        <v>141</v>
      </c>
      <c r="M41" t="s">
        <v>182</v>
      </c>
      <c r="N41" t="s">
        <v>178</v>
      </c>
      <c r="P41" t="s">
        <v>39</v>
      </c>
      <c r="Q41" t="s">
        <v>49</v>
      </c>
      <c r="R41" t="s">
        <v>190</v>
      </c>
      <c r="S41" s="2" t="s">
        <v>169</v>
      </c>
      <c r="T41" t="s">
        <v>191</v>
      </c>
    </row>
    <row r="42" spans="1:20" x14ac:dyDescent="0.3">
      <c r="A42" t="s">
        <v>193</v>
      </c>
      <c r="B42">
        <v>1020</v>
      </c>
      <c r="C42">
        <v>110</v>
      </c>
      <c r="H42">
        <v>32.67</v>
      </c>
      <c r="I42">
        <v>-18.2</v>
      </c>
      <c r="K42" t="s">
        <v>141</v>
      </c>
      <c r="M42" t="s">
        <v>182</v>
      </c>
      <c r="N42" t="s">
        <v>178</v>
      </c>
      <c r="P42" t="s">
        <v>39</v>
      </c>
      <c r="Q42" t="s">
        <v>49</v>
      </c>
      <c r="R42" t="s">
        <v>192</v>
      </c>
      <c r="S42" s="7" t="s">
        <v>194</v>
      </c>
    </row>
    <row r="43" spans="1:20" x14ac:dyDescent="0.3">
      <c r="A43" t="s">
        <v>197</v>
      </c>
      <c r="B43">
        <v>720</v>
      </c>
      <c r="C43">
        <v>120</v>
      </c>
      <c r="H43">
        <v>32.549999999999997</v>
      </c>
      <c r="I43">
        <v>-19.98</v>
      </c>
      <c r="K43" t="s">
        <v>141</v>
      </c>
      <c r="M43" t="s">
        <v>195</v>
      </c>
      <c r="N43" t="s">
        <v>178</v>
      </c>
      <c r="P43" t="s">
        <v>39</v>
      </c>
      <c r="Q43" t="s">
        <v>49</v>
      </c>
      <c r="R43" t="s">
        <v>190</v>
      </c>
      <c r="S43" s="2" t="s">
        <v>169</v>
      </c>
      <c r="T43" t="s">
        <v>196</v>
      </c>
    </row>
    <row r="44" spans="1:20" x14ac:dyDescent="0.3">
      <c r="A44" t="s">
        <v>198</v>
      </c>
      <c r="B44">
        <v>800</v>
      </c>
      <c r="C44">
        <v>90</v>
      </c>
      <c r="H44">
        <v>32.549999999999997</v>
      </c>
      <c r="I44">
        <v>-19.98</v>
      </c>
      <c r="K44" t="s">
        <v>141</v>
      </c>
      <c r="M44" t="s">
        <v>195</v>
      </c>
      <c r="N44" t="s">
        <v>178</v>
      </c>
      <c r="P44" t="s">
        <v>39</v>
      </c>
      <c r="Q44" t="s">
        <v>49</v>
      </c>
      <c r="R44" t="s">
        <v>190</v>
      </c>
      <c r="S44" s="2" t="s">
        <v>169</v>
      </c>
      <c r="T44" t="s">
        <v>199</v>
      </c>
    </row>
    <row r="45" spans="1:20" x14ac:dyDescent="0.3">
      <c r="A45" t="s">
        <v>208</v>
      </c>
      <c r="B45">
        <v>1605</v>
      </c>
      <c r="C45">
        <v>40</v>
      </c>
      <c r="H45">
        <v>31.25</v>
      </c>
      <c r="I45">
        <v>-8.58</v>
      </c>
      <c r="K45" t="s">
        <v>141</v>
      </c>
      <c r="M45" t="s">
        <v>200</v>
      </c>
      <c r="N45" t="s">
        <v>163</v>
      </c>
      <c r="P45" t="s">
        <v>39</v>
      </c>
      <c r="Q45" t="s">
        <v>49</v>
      </c>
      <c r="R45" t="s">
        <v>211</v>
      </c>
      <c r="S45" s="8" t="s">
        <v>210</v>
      </c>
      <c r="T45" t="s">
        <v>356</v>
      </c>
    </row>
    <row r="46" spans="1:20" x14ac:dyDescent="0.3">
      <c r="A46" t="s">
        <v>214</v>
      </c>
      <c r="B46">
        <v>1520</v>
      </c>
      <c r="C46">
        <v>40</v>
      </c>
      <c r="H46">
        <v>31.25</v>
      </c>
      <c r="I46">
        <v>-8.58</v>
      </c>
      <c r="K46" t="s">
        <v>141</v>
      </c>
      <c r="M46" t="s">
        <v>200</v>
      </c>
      <c r="N46" t="s">
        <v>163</v>
      </c>
      <c r="P46" t="s">
        <v>39</v>
      </c>
      <c r="Q46" t="s">
        <v>49</v>
      </c>
      <c r="R46" t="s">
        <v>216</v>
      </c>
      <c r="S46" s="8" t="s">
        <v>215</v>
      </c>
      <c r="T46" t="s">
        <v>355</v>
      </c>
    </row>
    <row r="47" spans="1:20" x14ac:dyDescent="0.3">
      <c r="A47" t="s">
        <v>203</v>
      </c>
      <c r="B47">
        <v>930</v>
      </c>
      <c r="C47">
        <v>40</v>
      </c>
      <c r="H47">
        <v>31.25</v>
      </c>
      <c r="I47">
        <v>-8.58</v>
      </c>
      <c r="K47" t="s">
        <v>141</v>
      </c>
      <c r="M47" t="s">
        <v>200</v>
      </c>
      <c r="N47" t="s">
        <v>163</v>
      </c>
      <c r="P47" t="s">
        <v>39</v>
      </c>
      <c r="Q47" t="s">
        <v>49</v>
      </c>
      <c r="R47" t="s">
        <v>190</v>
      </c>
      <c r="S47" s="8" t="s">
        <v>169</v>
      </c>
      <c r="T47" t="s">
        <v>207</v>
      </c>
    </row>
    <row r="48" spans="1:20" x14ac:dyDescent="0.3">
      <c r="A48" t="s">
        <v>204</v>
      </c>
      <c r="B48">
        <v>970</v>
      </c>
      <c r="C48">
        <v>150</v>
      </c>
      <c r="H48">
        <v>31.25</v>
      </c>
      <c r="I48">
        <v>-8.58</v>
      </c>
      <c r="K48" t="s">
        <v>141</v>
      </c>
      <c r="M48" t="s">
        <v>200</v>
      </c>
      <c r="N48" t="s">
        <v>163</v>
      </c>
      <c r="P48" t="s">
        <v>39</v>
      </c>
      <c r="Q48" t="s">
        <v>49</v>
      </c>
      <c r="R48" t="s">
        <v>190</v>
      </c>
      <c r="S48" s="8" t="s">
        <v>169</v>
      </c>
    </row>
    <row r="49" spans="1:20" x14ac:dyDescent="0.3">
      <c r="A49" t="s">
        <v>205</v>
      </c>
      <c r="B49">
        <v>1080</v>
      </c>
      <c r="C49">
        <v>180</v>
      </c>
      <c r="H49">
        <v>31.25</v>
      </c>
      <c r="I49">
        <v>-8.58</v>
      </c>
      <c r="K49" t="s">
        <v>141</v>
      </c>
      <c r="M49" t="s">
        <v>200</v>
      </c>
      <c r="N49" t="s">
        <v>163</v>
      </c>
      <c r="P49" t="s">
        <v>39</v>
      </c>
      <c r="Q49" t="s">
        <v>49</v>
      </c>
      <c r="R49" t="s">
        <v>190</v>
      </c>
      <c r="S49" s="8" t="s">
        <v>169</v>
      </c>
    </row>
    <row r="50" spans="1:20" x14ac:dyDescent="0.3">
      <c r="A50" t="s">
        <v>206</v>
      </c>
      <c r="B50">
        <v>1400</v>
      </c>
      <c r="C50">
        <v>150</v>
      </c>
      <c r="H50">
        <v>31.25</v>
      </c>
      <c r="I50">
        <v>-8.58</v>
      </c>
      <c r="K50" t="s">
        <v>141</v>
      </c>
      <c r="M50" t="s">
        <v>200</v>
      </c>
      <c r="N50" t="s">
        <v>163</v>
      </c>
      <c r="P50" t="s">
        <v>39</v>
      </c>
      <c r="Q50" t="s">
        <v>49</v>
      </c>
      <c r="R50" t="s">
        <v>190</v>
      </c>
      <c r="S50" s="8" t="s">
        <v>169</v>
      </c>
    </row>
    <row r="51" spans="1:20" x14ac:dyDescent="0.3">
      <c r="A51" t="s">
        <v>218</v>
      </c>
      <c r="B51">
        <v>445</v>
      </c>
      <c r="C51">
        <v>70</v>
      </c>
      <c r="H51">
        <v>29.9</v>
      </c>
      <c r="I51">
        <v>0.38</v>
      </c>
      <c r="K51" t="s">
        <v>38</v>
      </c>
      <c r="M51" t="s">
        <v>217</v>
      </c>
      <c r="N51" t="s">
        <v>118</v>
      </c>
      <c r="P51" t="s">
        <v>39</v>
      </c>
      <c r="Q51" t="s">
        <v>49</v>
      </c>
      <c r="R51" t="s">
        <v>222</v>
      </c>
      <c r="S51" s="7" t="s">
        <v>221</v>
      </c>
    </row>
    <row r="52" spans="1:20" x14ac:dyDescent="0.3">
      <c r="A52" t="s">
        <v>219</v>
      </c>
      <c r="B52">
        <v>500</v>
      </c>
      <c r="C52">
        <v>300</v>
      </c>
      <c r="H52">
        <v>29.9</v>
      </c>
      <c r="I52">
        <v>0.38</v>
      </c>
      <c r="K52" t="s">
        <v>38</v>
      </c>
      <c r="M52" t="s">
        <v>217</v>
      </c>
      <c r="N52" t="s">
        <v>118</v>
      </c>
      <c r="P52" t="s">
        <v>39</v>
      </c>
      <c r="Q52" t="s">
        <v>49</v>
      </c>
      <c r="R52" t="s">
        <v>222</v>
      </c>
      <c r="S52" s="7" t="s">
        <v>221</v>
      </c>
    </row>
    <row r="53" spans="1:20" x14ac:dyDescent="0.3">
      <c r="A53" t="s">
        <v>220</v>
      </c>
      <c r="B53">
        <v>580</v>
      </c>
      <c r="C53">
        <v>90</v>
      </c>
      <c r="H53">
        <v>29.9</v>
      </c>
      <c r="I53">
        <v>0.38</v>
      </c>
      <c r="K53" t="s">
        <v>38</v>
      </c>
      <c r="M53" t="s">
        <v>217</v>
      </c>
      <c r="N53" t="s">
        <v>118</v>
      </c>
      <c r="P53" t="s">
        <v>39</v>
      </c>
      <c r="Q53" t="s">
        <v>49</v>
      </c>
      <c r="R53" t="s">
        <v>222</v>
      </c>
      <c r="S53" s="7" t="s">
        <v>221</v>
      </c>
      <c r="T53" t="s">
        <v>304</v>
      </c>
    </row>
    <row r="54" spans="1:20" x14ac:dyDescent="0.3">
      <c r="A54" t="s">
        <v>226</v>
      </c>
      <c r="B54">
        <v>1020</v>
      </c>
      <c r="C54">
        <v>100</v>
      </c>
      <c r="H54">
        <v>39.520000000000003</v>
      </c>
      <c r="I54">
        <v>-8.9499999999999993</v>
      </c>
      <c r="K54" t="s">
        <v>38</v>
      </c>
      <c r="M54" t="s">
        <v>225</v>
      </c>
      <c r="N54" t="s">
        <v>128</v>
      </c>
      <c r="P54" t="s">
        <v>39</v>
      </c>
      <c r="Q54" t="s">
        <v>49</v>
      </c>
      <c r="R54" t="s">
        <v>222</v>
      </c>
      <c r="S54" s="7" t="s">
        <v>221</v>
      </c>
      <c r="T54" s="10" t="s">
        <v>228</v>
      </c>
    </row>
    <row r="55" spans="1:20" x14ac:dyDescent="0.3">
      <c r="A55" t="s">
        <v>227</v>
      </c>
      <c r="B55">
        <v>890</v>
      </c>
      <c r="C55">
        <v>100</v>
      </c>
      <c r="H55">
        <v>39.520000000000003</v>
      </c>
      <c r="I55">
        <v>-8.9499999999999993</v>
      </c>
      <c r="K55" t="s">
        <v>38</v>
      </c>
      <c r="M55" t="s">
        <v>225</v>
      </c>
      <c r="N55" t="s">
        <v>128</v>
      </c>
      <c r="P55" t="s">
        <v>39</v>
      </c>
      <c r="Q55" t="s">
        <v>49</v>
      </c>
      <c r="R55" t="s">
        <v>222</v>
      </c>
      <c r="S55" s="7" t="s">
        <v>221</v>
      </c>
      <c r="T55" s="10" t="s">
        <v>228</v>
      </c>
    </row>
    <row r="56" spans="1:20" x14ac:dyDescent="0.3">
      <c r="A56" t="s">
        <v>347</v>
      </c>
      <c r="B56">
        <v>790</v>
      </c>
      <c r="C56">
        <v>110</v>
      </c>
      <c r="D56" t="s">
        <v>25</v>
      </c>
      <c r="H56">
        <v>39.520000000000003</v>
      </c>
      <c r="I56">
        <v>-8.9499999999999993</v>
      </c>
      <c r="K56" t="s">
        <v>38</v>
      </c>
      <c r="M56" t="s">
        <v>225</v>
      </c>
      <c r="N56" t="s">
        <v>128</v>
      </c>
      <c r="P56" t="s">
        <v>39</v>
      </c>
      <c r="Q56" t="s">
        <v>49</v>
      </c>
      <c r="R56" t="s">
        <v>346</v>
      </c>
      <c r="S56" s="7" t="s">
        <v>345</v>
      </c>
      <c r="T56" t="s">
        <v>348</v>
      </c>
    </row>
    <row r="57" spans="1:20" x14ac:dyDescent="0.3">
      <c r="A57" t="s">
        <v>245</v>
      </c>
      <c r="B57">
        <v>1600</v>
      </c>
      <c r="C57">
        <v>110</v>
      </c>
      <c r="H57">
        <v>32.85</v>
      </c>
      <c r="I57">
        <v>-13.53</v>
      </c>
      <c r="K57" t="s">
        <v>38</v>
      </c>
      <c r="M57" t="s">
        <v>244</v>
      </c>
      <c r="N57" t="s">
        <v>163</v>
      </c>
      <c r="P57" t="s">
        <v>39</v>
      </c>
      <c r="Q57" t="s">
        <v>49</v>
      </c>
      <c r="R57" t="s">
        <v>242</v>
      </c>
      <c r="S57" s="11" t="s">
        <v>243</v>
      </c>
    </row>
    <row r="58" spans="1:20" x14ac:dyDescent="0.3">
      <c r="A58" t="s">
        <v>247</v>
      </c>
      <c r="B58">
        <v>1610</v>
      </c>
      <c r="C58">
        <v>115</v>
      </c>
      <c r="H58">
        <v>28.67</v>
      </c>
      <c r="I58">
        <f ca="1">Collected_dates_final!$I$58-13.07</f>
        <v>-13.07</v>
      </c>
      <c r="K58" t="s">
        <v>38</v>
      </c>
      <c r="M58" t="s">
        <v>246</v>
      </c>
      <c r="N58" t="s">
        <v>163</v>
      </c>
      <c r="P58" t="s">
        <v>39</v>
      </c>
      <c r="Q58" t="s">
        <v>49</v>
      </c>
      <c r="R58" t="s">
        <v>242</v>
      </c>
      <c r="S58" s="11" t="s">
        <v>243</v>
      </c>
    </row>
    <row r="59" spans="1:20" x14ac:dyDescent="0.3">
      <c r="A59" t="s">
        <v>248</v>
      </c>
      <c r="B59">
        <v>1185</v>
      </c>
      <c r="C59">
        <v>85</v>
      </c>
      <c r="H59">
        <v>28.67</v>
      </c>
      <c r="I59">
        <f ca="1">Collected_dates_final!$I$58-13.07</f>
        <v>-13.07</v>
      </c>
      <c r="K59" t="s">
        <v>38</v>
      </c>
      <c r="M59" t="s">
        <v>246</v>
      </c>
      <c r="N59" t="s">
        <v>163</v>
      </c>
      <c r="P59" t="s">
        <v>39</v>
      </c>
      <c r="Q59" t="s">
        <v>49</v>
      </c>
      <c r="R59" t="s">
        <v>242</v>
      </c>
      <c r="S59" s="11" t="s">
        <v>243</v>
      </c>
    </row>
    <row r="60" spans="1:20" x14ac:dyDescent="0.3">
      <c r="A60" t="s">
        <v>250</v>
      </c>
      <c r="B60">
        <v>1550</v>
      </c>
      <c r="C60">
        <v>90</v>
      </c>
      <c r="H60">
        <v>26.5</v>
      </c>
      <c r="I60">
        <v>-11.67</v>
      </c>
      <c r="K60" t="s">
        <v>38</v>
      </c>
      <c r="M60" t="s">
        <v>249</v>
      </c>
      <c r="N60" t="s">
        <v>163</v>
      </c>
      <c r="P60" t="s">
        <v>39</v>
      </c>
      <c r="Q60" t="s">
        <v>49</v>
      </c>
      <c r="R60" t="s">
        <v>242</v>
      </c>
      <c r="S60" s="11" t="s">
        <v>243</v>
      </c>
    </row>
    <row r="61" spans="1:20" x14ac:dyDescent="0.3">
      <c r="A61" t="s">
        <v>251</v>
      </c>
      <c r="B61">
        <v>1320</v>
      </c>
      <c r="C61">
        <v>85</v>
      </c>
      <c r="H61">
        <v>26.5</v>
      </c>
      <c r="I61">
        <v>-11.67</v>
      </c>
      <c r="K61" t="s">
        <v>38</v>
      </c>
      <c r="M61" t="s">
        <v>249</v>
      </c>
      <c r="N61" t="s">
        <v>163</v>
      </c>
      <c r="P61" t="s">
        <v>39</v>
      </c>
      <c r="Q61" t="s">
        <v>49</v>
      </c>
      <c r="R61" t="s">
        <v>242</v>
      </c>
      <c r="S61" s="11" t="s">
        <v>243</v>
      </c>
    </row>
    <row r="62" spans="1:20" x14ac:dyDescent="0.3">
      <c r="A62" t="s">
        <v>252</v>
      </c>
      <c r="B62">
        <v>1190</v>
      </c>
      <c r="C62">
        <v>85</v>
      </c>
      <c r="H62">
        <v>26.5</v>
      </c>
      <c r="I62">
        <v>-11.67</v>
      </c>
      <c r="K62" t="s">
        <v>38</v>
      </c>
      <c r="M62" t="s">
        <v>249</v>
      </c>
      <c r="N62" t="s">
        <v>163</v>
      </c>
      <c r="P62" t="s">
        <v>39</v>
      </c>
      <c r="Q62" t="s">
        <v>49</v>
      </c>
      <c r="R62" t="s">
        <v>242</v>
      </c>
      <c r="S62" s="11" t="s">
        <v>243</v>
      </c>
    </row>
    <row r="63" spans="1:20" x14ac:dyDescent="0.3">
      <c r="A63" t="s">
        <v>253</v>
      </c>
      <c r="B63">
        <v>900</v>
      </c>
      <c r="C63">
        <v>60</v>
      </c>
      <c r="H63">
        <v>26.5</v>
      </c>
      <c r="I63">
        <v>-11.67</v>
      </c>
      <c r="K63" t="s">
        <v>38</v>
      </c>
      <c r="M63" t="s">
        <v>249</v>
      </c>
      <c r="N63" t="s">
        <v>163</v>
      </c>
      <c r="P63" t="s">
        <v>39</v>
      </c>
      <c r="Q63" t="s">
        <v>49</v>
      </c>
      <c r="R63" t="s">
        <v>242</v>
      </c>
      <c r="S63" s="11" t="s">
        <v>243</v>
      </c>
    </row>
    <row r="64" spans="1:20" x14ac:dyDescent="0.3">
      <c r="A64" t="s">
        <v>254</v>
      </c>
      <c r="B64">
        <v>560</v>
      </c>
      <c r="C64">
        <v>75</v>
      </c>
      <c r="H64">
        <v>26.5</v>
      </c>
      <c r="I64">
        <v>-11.67</v>
      </c>
      <c r="K64" t="s">
        <v>133</v>
      </c>
      <c r="M64" t="s">
        <v>249</v>
      </c>
      <c r="N64" t="s">
        <v>163</v>
      </c>
      <c r="P64" t="s">
        <v>39</v>
      </c>
      <c r="Q64" t="s">
        <v>49</v>
      </c>
      <c r="R64" t="s">
        <v>242</v>
      </c>
      <c r="S64" s="11" t="s">
        <v>243</v>
      </c>
    </row>
    <row r="65" spans="1:20" x14ac:dyDescent="0.3">
      <c r="A65" t="s">
        <v>255</v>
      </c>
      <c r="B65">
        <v>450</v>
      </c>
      <c r="C65">
        <v>75</v>
      </c>
      <c r="H65">
        <v>26.5</v>
      </c>
      <c r="I65">
        <v>-11.67</v>
      </c>
      <c r="K65" t="s">
        <v>133</v>
      </c>
      <c r="M65" t="s">
        <v>249</v>
      </c>
      <c r="N65" t="s">
        <v>163</v>
      </c>
      <c r="P65" t="s">
        <v>39</v>
      </c>
      <c r="Q65" t="s">
        <v>49</v>
      </c>
      <c r="R65" t="s">
        <v>242</v>
      </c>
      <c r="S65" s="11" t="s">
        <v>243</v>
      </c>
    </row>
    <row r="66" spans="1:20" x14ac:dyDescent="0.3">
      <c r="A66" t="s">
        <v>256</v>
      </c>
      <c r="B66">
        <v>360</v>
      </c>
      <c r="C66">
        <v>80</v>
      </c>
      <c r="H66">
        <v>26.5</v>
      </c>
      <c r="I66">
        <v>-11.67</v>
      </c>
      <c r="K66" t="s">
        <v>133</v>
      </c>
      <c r="M66" t="s">
        <v>249</v>
      </c>
      <c r="N66" t="s">
        <v>163</v>
      </c>
      <c r="P66" t="s">
        <v>39</v>
      </c>
      <c r="Q66" t="s">
        <v>49</v>
      </c>
      <c r="R66" t="s">
        <v>242</v>
      </c>
      <c r="S66" s="11" t="s">
        <v>243</v>
      </c>
    </row>
    <row r="67" spans="1:20" x14ac:dyDescent="0.3">
      <c r="A67" t="s">
        <v>257</v>
      </c>
      <c r="B67">
        <v>295</v>
      </c>
      <c r="C67">
        <v>80</v>
      </c>
      <c r="H67">
        <v>26.5</v>
      </c>
      <c r="I67">
        <v>-11.67</v>
      </c>
      <c r="K67" t="s">
        <v>133</v>
      </c>
      <c r="M67" t="s">
        <v>249</v>
      </c>
      <c r="N67" t="s">
        <v>163</v>
      </c>
      <c r="P67" t="s">
        <v>39</v>
      </c>
      <c r="Q67" t="s">
        <v>49</v>
      </c>
      <c r="R67" t="s">
        <v>242</v>
      </c>
      <c r="S67" s="11" t="s">
        <v>243</v>
      </c>
    </row>
    <row r="68" spans="1:20" x14ac:dyDescent="0.3">
      <c r="A68" t="s">
        <v>259</v>
      </c>
      <c r="B68">
        <v>1540</v>
      </c>
      <c r="C68">
        <v>85</v>
      </c>
      <c r="H68">
        <v>28.37</v>
      </c>
      <c r="I68">
        <v>-15.38</v>
      </c>
      <c r="K68" t="s">
        <v>133</v>
      </c>
      <c r="M68" t="s">
        <v>258</v>
      </c>
      <c r="N68" t="s">
        <v>163</v>
      </c>
      <c r="P68" t="s">
        <v>39</v>
      </c>
      <c r="Q68" t="s">
        <v>49</v>
      </c>
      <c r="R68" t="s">
        <v>242</v>
      </c>
      <c r="S68" s="11" t="s">
        <v>243</v>
      </c>
    </row>
    <row r="69" spans="1:20" x14ac:dyDescent="0.3">
      <c r="A69" t="s">
        <v>260</v>
      </c>
      <c r="B69">
        <v>1525</v>
      </c>
      <c r="C69">
        <v>110</v>
      </c>
      <c r="H69">
        <v>28.37</v>
      </c>
      <c r="I69">
        <v>-15.38</v>
      </c>
      <c r="K69" t="s">
        <v>38</v>
      </c>
      <c r="M69" t="s">
        <v>258</v>
      </c>
      <c r="N69" t="s">
        <v>163</v>
      </c>
      <c r="P69" t="s">
        <v>39</v>
      </c>
      <c r="Q69" t="s">
        <v>49</v>
      </c>
      <c r="R69" t="s">
        <v>242</v>
      </c>
      <c r="S69" s="11" t="s">
        <v>243</v>
      </c>
    </row>
    <row r="70" spans="1:20" x14ac:dyDescent="0.3">
      <c r="A70" t="s">
        <v>261</v>
      </c>
      <c r="B70">
        <v>1445</v>
      </c>
      <c r="C70">
        <v>95</v>
      </c>
      <c r="H70">
        <v>28.37</v>
      </c>
      <c r="I70">
        <v>-15.38</v>
      </c>
      <c r="K70" t="s">
        <v>38</v>
      </c>
      <c r="M70" t="s">
        <v>258</v>
      </c>
      <c r="N70" t="s">
        <v>163</v>
      </c>
      <c r="P70" t="s">
        <v>39</v>
      </c>
      <c r="Q70" t="s">
        <v>49</v>
      </c>
      <c r="R70" t="s">
        <v>242</v>
      </c>
      <c r="S70" s="11" t="s">
        <v>243</v>
      </c>
    </row>
    <row r="71" spans="1:20" x14ac:dyDescent="0.3">
      <c r="A71" t="s">
        <v>263</v>
      </c>
      <c r="B71">
        <v>1070</v>
      </c>
      <c r="C71">
        <v>60</v>
      </c>
      <c r="H71">
        <v>23.82</v>
      </c>
      <c r="I71">
        <v>-14.37</v>
      </c>
      <c r="K71" t="s">
        <v>38</v>
      </c>
      <c r="M71" t="s">
        <v>262</v>
      </c>
      <c r="N71" t="s">
        <v>163</v>
      </c>
      <c r="P71" t="s">
        <v>39</v>
      </c>
      <c r="Q71" t="s">
        <v>49</v>
      </c>
      <c r="R71" t="s">
        <v>242</v>
      </c>
      <c r="S71" s="11" t="s">
        <v>243</v>
      </c>
    </row>
    <row r="72" spans="1:20" x14ac:dyDescent="0.3">
      <c r="A72" t="s">
        <v>272</v>
      </c>
      <c r="B72">
        <v>995</v>
      </c>
      <c r="C72">
        <v>61</v>
      </c>
      <c r="H72">
        <v>26.33</v>
      </c>
      <c r="I72">
        <v>-17.07</v>
      </c>
      <c r="K72" t="s">
        <v>38</v>
      </c>
      <c r="M72" t="s">
        <v>271</v>
      </c>
      <c r="N72" t="s">
        <v>163</v>
      </c>
      <c r="P72" t="s">
        <v>39</v>
      </c>
      <c r="Q72" t="s">
        <v>49</v>
      </c>
      <c r="R72" t="s">
        <v>242</v>
      </c>
      <c r="S72" s="11" t="s">
        <v>243</v>
      </c>
      <c r="T72" t="s">
        <v>279</v>
      </c>
    </row>
    <row r="73" spans="1:20" x14ac:dyDescent="0.3">
      <c r="A73" t="s">
        <v>273</v>
      </c>
      <c r="B73">
        <v>960</v>
      </c>
      <c r="C73">
        <v>70</v>
      </c>
      <c r="H73">
        <v>26.33</v>
      </c>
      <c r="I73">
        <v>-17.07</v>
      </c>
      <c r="K73" t="s">
        <v>38</v>
      </c>
      <c r="M73" t="s">
        <v>271</v>
      </c>
      <c r="N73" t="s">
        <v>163</v>
      </c>
      <c r="P73" t="s">
        <v>39</v>
      </c>
      <c r="Q73" t="s">
        <v>49</v>
      </c>
      <c r="R73" t="s">
        <v>242</v>
      </c>
      <c r="S73" s="11" t="s">
        <v>243</v>
      </c>
      <c r="T73" t="s">
        <v>279</v>
      </c>
    </row>
    <row r="74" spans="1:20" x14ac:dyDescent="0.3">
      <c r="A74" t="s">
        <v>274</v>
      </c>
      <c r="B74">
        <v>930</v>
      </c>
      <c r="C74">
        <v>100</v>
      </c>
      <c r="H74">
        <v>26.33</v>
      </c>
      <c r="I74">
        <v>-17.07</v>
      </c>
      <c r="K74" t="s">
        <v>38</v>
      </c>
      <c r="M74" t="s">
        <v>271</v>
      </c>
      <c r="N74" t="s">
        <v>163</v>
      </c>
      <c r="P74" t="s">
        <v>39</v>
      </c>
      <c r="Q74" t="s">
        <v>49</v>
      </c>
      <c r="R74" t="s">
        <v>242</v>
      </c>
      <c r="S74" s="11" t="s">
        <v>243</v>
      </c>
      <c r="T74" t="s">
        <v>664</v>
      </c>
    </row>
    <row r="75" spans="1:20" x14ac:dyDescent="0.3">
      <c r="A75" t="s">
        <v>275</v>
      </c>
      <c r="B75">
        <v>910</v>
      </c>
      <c r="C75">
        <v>100</v>
      </c>
      <c r="H75">
        <v>26.33</v>
      </c>
      <c r="I75">
        <v>-17.07</v>
      </c>
      <c r="K75" t="s">
        <v>38</v>
      </c>
      <c r="M75" t="s">
        <v>271</v>
      </c>
      <c r="N75" t="s">
        <v>163</v>
      </c>
      <c r="P75" t="s">
        <v>39</v>
      </c>
      <c r="Q75" t="s">
        <v>49</v>
      </c>
      <c r="R75" t="s">
        <v>242</v>
      </c>
      <c r="S75" s="11" t="s">
        <v>243</v>
      </c>
    </row>
    <row r="76" spans="1:20" x14ac:dyDescent="0.3">
      <c r="A76" t="s">
        <v>276</v>
      </c>
      <c r="B76">
        <v>900</v>
      </c>
      <c r="C76">
        <v>100</v>
      </c>
      <c r="H76">
        <v>26.33</v>
      </c>
      <c r="I76">
        <v>-17.07</v>
      </c>
      <c r="K76" t="s">
        <v>38</v>
      </c>
      <c r="M76" t="s">
        <v>271</v>
      </c>
      <c r="N76" t="s">
        <v>163</v>
      </c>
      <c r="P76" t="s">
        <v>39</v>
      </c>
      <c r="Q76" t="s">
        <v>49</v>
      </c>
      <c r="R76" t="s">
        <v>242</v>
      </c>
      <c r="S76" s="11" t="s">
        <v>243</v>
      </c>
    </row>
    <row r="77" spans="1:20" x14ac:dyDescent="0.3">
      <c r="A77" t="s">
        <v>277</v>
      </c>
      <c r="B77">
        <v>890</v>
      </c>
      <c r="C77">
        <v>50</v>
      </c>
      <c r="H77">
        <v>26.33</v>
      </c>
      <c r="I77">
        <v>-17.07</v>
      </c>
      <c r="K77" t="s">
        <v>38</v>
      </c>
      <c r="M77" t="s">
        <v>271</v>
      </c>
      <c r="N77" t="s">
        <v>163</v>
      </c>
      <c r="P77" t="s">
        <v>39</v>
      </c>
      <c r="Q77" t="s">
        <v>49</v>
      </c>
      <c r="R77" t="s">
        <v>242</v>
      </c>
      <c r="S77" s="11" t="s">
        <v>243</v>
      </c>
      <c r="T77" t="s">
        <v>279</v>
      </c>
    </row>
    <row r="78" spans="1:20" x14ac:dyDescent="0.3">
      <c r="A78" t="s">
        <v>278</v>
      </c>
      <c r="B78">
        <v>710</v>
      </c>
      <c r="C78">
        <v>50</v>
      </c>
      <c r="H78">
        <v>26.33</v>
      </c>
      <c r="I78">
        <v>-17.07</v>
      </c>
      <c r="K78" t="s">
        <v>38</v>
      </c>
      <c r="M78" t="s">
        <v>271</v>
      </c>
      <c r="N78" t="s">
        <v>163</v>
      </c>
      <c r="P78" t="s">
        <v>39</v>
      </c>
      <c r="Q78" t="s">
        <v>49</v>
      </c>
      <c r="R78" t="s">
        <v>242</v>
      </c>
      <c r="S78" s="11" t="s">
        <v>243</v>
      </c>
      <c r="T78" t="s">
        <v>279</v>
      </c>
    </row>
    <row r="79" spans="1:20" x14ac:dyDescent="0.3">
      <c r="A79" t="s">
        <v>282</v>
      </c>
      <c r="B79">
        <v>1300</v>
      </c>
      <c r="C79">
        <v>90</v>
      </c>
      <c r="H79">
        <v>26.33</v>
      </c>
      <c r="I79">
        <v>-17.07</v>
      </c>
      <c r="K79" t="s">
        <v>38</v>
      </c>
      <c r="M79" t="s">
        <v>271</v>
      </c>
      <c r="N79" t="s">
        <v>163</v>
      </c>
      <c r="P79" t="s">
        <v>39</v>
      </c>
      <c r="Q79" t="s">
        <v>49</v>
      </c>
      <c r="R79" t="s">
        <v>242</v>
      </c>
      <c r="S79" s="11" t="s">
        <v>243</v>
      </c>
      <c r="T79" s="10" t="s">
        <v>283</v>
      </c>
    </row>
    <row r="80" spans="1:20" x14ac:dyDescent="0.3">
      <c r="A80" t="s">
        <v>285</v>
      </c>
      <c r="B80">
        <v>1410</v>
      </c>
      <c r="C80">
        <v>115</v>
      </c>
      <c r="H80">
        <v>26.12</v>
      </c>
      <c r="I80">
        <v>-15.98</v>
      </c>
      <c r="K80" t="s">
        <v>38</v>
      </c>
      <c r="M80" t="s">
        <v>284</v>
      </c>
      <c r="N80" t="s">
        <v>163</v>
      </c>
      <c r="P80" t="s">
        <v>39</v>
      </c>
      <c r="Q80" t="s">
        <v>49</v>
      </c>
      <c r="R80" t="s">
        <v>242</v>
      </c>
      <c r="S80" s="11" t="s">
        <v>243</v>
      </c>
    </row>
    <row r="81" spans="1:20" x14ac:dyDescent="0.3">
      <c r="A81" t="s">
        <v>286</v>
      </c>
      <c r="B81">
        <v>1200</v>
      </c>
      <c r="C81">
        <v>115</v>
      </c>
      <c r="H81">
        <v>26.12</v>
      </c>
      <c r="I81">
        <v>-15.98</v>
      </c>
      <c r="K81" t="s">
        <v>38</v>
      </c>
      <c r="M81" t="s">
        <v>284</v>
      </c>
      <c r="N81" t="s">
        <v>163</v>
      </c>
      <c r="P81" t="s">
        <v>39</v>
      </c>
      <c r="Q81" t="s">
        <v>49</v>
      </c>
      <c r="R81" t="s">
        <v>242</v>
      </c>
      <c r="S81" s="11" t="s">
        <v>243</v>
      </c>
    </row>
    <row r="82" spans="1:20" x14ac:dyDescent="0.3">
      <c r="A82" t="s">
        <v>291</v>
      </c>
      <c r="B82">
        <v>625</v>
      </c>
      <c r="C82">
        <v>110</v>
      </c>
      <c r="H82">
        <v>26.12</v>
      </c>
      <c r="I82">
        <v>-15.98</v>
      </c>
      <c r="K82" t="s">
        <v>38</v>
      </c>
      <c r="M82" t="s">
        <v>284</v>
      </c>
      <c r="N82" t="s">
        <v>163</v>
      </c>
      <c r="P82" t="s">
        <v>39</v>
      </c>
      <c r="Q82" t="s">
        <v>49</v>
      </c>
      <c r="R82" t="s">
        <v>302</v>
      </c>
      <c r="S82" s="7" t="s">
        <v>301</v>
      </c>
    </row>
    <row r="83" spans="1:20" x14ac:dyDescent="0.3">
      <c r="A83" t="s">
        <v>287</v>
      </c>
      <c r="B83">
        <v>965</v>
      </c>
      <c r="C83">
        <v>110</v>
      </c>
      <c r="H83">
        <v>26.12</v>
      </c>
      <c r="I83">
        <v>-15.98</v>
      </c>
      <c r="K83" t="s">
        <v>38</v>
      </c>
      <c r="M83" t="s">
        <v>284</v>
      </c>
      <c r="N83" t="s">
        <v>163</v>
      </c>
      <c r="P83" t="s">
        <v>39</v>
      </c>
      <c r="Q83" t="s">
        <v>49</v>
      </c>
      <c r="R83" t="s">
        <v>242</v>
      </c>
      <c r="S83" s="11" t="s">
        <v>243</v>
      </c>
    </row>
    <row r="84" spans="1:20" x14ac:dyDescent="0.3">
      <c r="A84" t="s">
        <v>288</v>
      </c>
      <c r="B84">
        <v>950</v>
      </c>
      <c r="C84">
        <v>115</v>
      </c>
      <c r="H84">
        <v>26.12</v>
      </c>
      <c r="I84">
        <v>-15.98</v>
      </c>
      <c r="K84" t="s">
        <v>38</v>
      </c>
      <c r="M84" t="s">
        <v>284</v>
      </c>
      <c r="N84" t="s">
        <v>163</v>
      </c>
      <c r="P84" t="s">
        <v>39</v>
      </c>
      <c r="Q84" t="s">
        <v>49</v>
      </c>
      <c r="R84" t="s">
        <v>242</v>
      </c>
      <c r="S84" s="11" t="s">
        <v>243</v>
      </c>
    </row>
    <row r="85" spans="1:20" x14ac:dyDescent="0.3">
      <c r="A85" t="s">
        <v>289</v>
      </c>
      <c r="B85">
        <v>950</v>
      </c>
      <c r="C85">
        <v>115</v>
      </c>
      <c r="H85">
        <v>26.12</v>
      </c>
      <c r="I85">
        <v>-15.98</v>
      </c>
      <c r="K85" t="s">
        <v>38</v>
      </c>
      <c r="M85" t="s">
        <v>284</v>
      </c>
      <c r="N85" t="s">
        <v>163</v>
      </c>
      <c r="P85" t="s">
        <v>39</v>
      </c>
      <c r="Q85" t="s">
        <v>49</v>
      </c>
      <c r="R85" t="s">
        <v>242</v>
      </c>
      <c r="S85" s="11" t="s">
        <v>243</v>
      </c>
    </row>
    <row r="86" spans="1:20" x14ac:dyDescent="0.3">
      <c r="A86" t="s">
        <v>290</v>
      </c>
      <c r="B86">
        <v>755</v>
      </c>
      <c r="C86">
        <v>110</v>
      </c>
      <c r="H86">
        <v>26.12</v>
      </c>
      <c r="I86">
        <v>-15.98</v>
      </c>
      <c r="K86" t="s">
        <v>38</v>
      </c>
      <c r="M86" t="s">
        <v>284</v>
      </c>
      <c r="N86" t="s">
        <v>163</v>
      </c>
      <c r="P86" t="s">
        <v>39</v>
      </c>
      <c r="Q86" t="s">
        <v>49</v>
      </c>
      <c r="R86" t="s">
        <v>242</v>
      </c>
      <c r="S86" s="11" t="s">
        <v>243</v>
      </c>
    </row>
    <row r="87" spans="1:20" x14ac:dyDescent="0.3">
      <c r="A87" t="s">
        <v>291</v>
      </c>
      <c r="B87">
        <v>625</v>
      </c>
      <c r="C87">
        <v>110</v>
      </c>
      <c r="H87">
        <v>26.12</v>
      </c>
      <c r="I87">
        <v>-15.98</v>
      </c>
      <c r="K87" t="s">
        <v>38</v>
      </c>
      <c r="M87" t="s">
        <v>284</v>
      </c>
      <c r="N87" t="s">
        <v>163</v>
      </c>
      <c r="P87" t="s">
        <v>39</v>
      </c>
      <c r="Q87" t="s">
        <v>49</v>
      </c>
      <c r="R87" t="s">
        <v>242</v>
      </c>
      <c r="S87" s="11" t="s">
        <v>243</v>
      </c>
    </row>
    <row r="88" spans="1:20" x14ac:dyDescent="0.3">
      <c r="A88" t="s">
        <v>292</v>
      </c>
      <c r="B88" s="16">
        <v>845</v>
      </c>
      <c r="C88" s="16">
        <v>100</v>
      </c>
      <c r="D88" t="s">
        <v>25</v>
      </c>
      <c r="H88">
        <v>27.4</v>
      </c>
      <c r="I88">
        <v>-16.73</v>
      </c>
      <c r="K88" t="s">
        <v>38</v>
      </c>
      <c r="M88" t="s">
        <v>294</v>
      </c>
      <c r="N88" t="s">
        <v>163</v>
      </c>
      <c r="P88" t="s">
        <v>39</v>
      </c>
      <c r="Q88" t="s">
        <v>49</v>
      </c>
      <c r="R88" t="s">
        <v>242</v>
      </c>
      <c r="S88" s="11" t="s">
        <v>243</v>
      </c>
      <c r="T88" s="10" t="s">
        <v>295</v>
      </c>
    </row>
    <row r="89" spans="1:20" x14ac:dyDescent="0.3">
      <c r="A89" t="s">
        <v>293</v>
      </c>
      <c r="B89" s="16">
        <v>745</v>
      </c>
      <c r="C89" s="16">
        <v>105</v>
      </c>
      <c r="D89" t="s">
        <v>25</v>
      </c>
      <c r="H89">
        <v>27.4</v>
      </c>
      <c r="I89">
        <v>-16.73</v>
      </c>
      <c r="K89" t="s">
        <v>38</v>
      </c>
      <c r="M89" t="s">
        <v>294</v>
      </c>
      <c r="N89" t="s">
        <v>163</v>
      </c>
      <c r="P89" t="s">
        <v>39</v>
      </c>
      <c r="Q89" t="s">
        <v>49</v>
      </c>
      <c r="R89" t="s">
        <v>242</v>
      </c>
      <c r="S89" s="11" t="s">
        <v>243</v>
      </c>
      <c r="T89" s="10" t="s">
        <v>295</v>
      </c>
    </row>
    <row r="90" spans="1:20" x14ac:dyDescent="0.3">
      <c r="A90" t="s">
        <v>296</v>
      </c>
      <c r="B90">
        <v>730</v>
      </c>
      <c r="C90">
        <v>50</v>
      </c>
      <c r="D90" t="s">
        <v>25</v>
      </c>
      <c r="H90">
        <v>27.4</v>
      </c>
      <c r="I90">
        <v>-16.73</v>
      </c>
      <c r="K90" t="s">
        <v>38</v>
      </c>
      <c r="M90" t="s">
        <v>294</v>
      </c>
      <c r="N90" t="s">
        <v>163</v>
      </c>
      <c r="P90" t="s">
        <v>39</v>
      </c>
      <c r="Q90" t="s">
        <v>49</v>
      </c>
      <c r="R90" t="s">
        <v>242</v>
      </c>
      <c r="S90" s="11" t="s">
        <v>243</v>
      </c>
      <c r="T90" s="10" t="s">
        <v>295</v>
      </c>
    </row>
    <row r="91" spans="1:20" x14ac:dyDescent="0.3">
      <c r="A91" t="s">
        <v>297</v>
      </c>
      <c r="B91">
        <v>1745</v>
      </c>
      <c r="C91">
        <v>170</v>
      </c>
      <c r="H91">
        <v>33.65</v>
      </c>
      <c r="I91">
        <v>-11.12</v>
      </c>
      <c r="K91" t="s">
        <v>38</v>
      </c>
      <c r="M91" t="s">
        <v>298</v>
      </c>
      <c r="N91" t="s">
        <v>90</v>
      </c>
      <c r="P91" t="s">
        <v>39</v>
      </c>
      <c r="Q91" t="s">
        <v>49</v>
      </c>
      <c r="R91" t="s">
        <v>302</v>
      </c>
      <c r="S91" s="7" t="s">
        <v>301</v>
      </c>
    </row>
    <row r="92" spans="1:20" x14ac:dyDescent="0.3">
      <c r="A92" t="s">
        <v>299</v>
      </c>
      <c r="B92">
        <v>1445</v>
      </c>
      <c r="C92">
        <v>120</v>
      </c>
      <c r="H92">
        <v>33.65</v>
      </c>
      <c r="I92">
        <v>-11.12</v>
      </c>
      <c r="K92" t="s">
        <v>38</v>
      </c>
      <c r="M92" t="s">
        <v>298</v>
      </c>
      <c r="N92" t="s">
        <v>90</v>
      </c>
      <c r="P92" t="s">
        <v>39</v>
      </c>
      <c r="Q92" t="s">
        <v>49</v>
      </c>
      <c r="R92" t="s">
        <v>302</v>
      </c>
      <c r="S92" s="7" t="s">
        <v>301</v>
      </c>
    </row>
    <row r="93" spans="1:20" x14ac:dyDescent="0.3">
      <c r="A93" t="s">
        <v>300</v>
      </c>
      <c r="B93">
        <v>1655</v>
      </c>
      <c r="C93">
        <v>95</v>
      </c>
      <c r="H93">
        <v>33.65</v>
      </c>
      <c r="I93">
        <v>-11.12</v>
      </c>
      <c r="K93" t="s">
        <v>38</v>
      </c>
      <c r="M93" t="s">
        <v>298</v>
      </c>
      <c r="N93" t="s">
        <v>90</v>
      </c>
      <c r="P93" t="s">
        <v>39</v>
      </c>
      <c r="Q93" t="s">
        <v>49</v>
      </c>
      <c r="R93" t="s">
        <v>302</v>
      </c>
      <c r="S93" s="7" t="s">
        <v>301</v>
      </c>
    </row>
    <row r="94" spans="1:20" x14ac:dyDescent="0.3">
      <c r="A94" t="s">
        <v>306</v>
      </c>
      <c r="B94">
        <v>1530</v>
      </c>
      <c r="C94">
        <v>160</v>
      </c>
      <c r="H94">
        <v>30.38</v>
      </c>
      <c r="I94">
        <v>-5.07</v>
      </c>
      <c r="K94" t="s">
        <v>38</v>
      </c>
      <c r="M94" t="s">
        <v>303</v>
      </c>
      <c r="N94" t="s">
        <v>128</v>
      </c>
      <c r="P94" t="s">
        <v>39</v>
      </c>
      <c r="Q94" t="s">
        <v>49</v>
      </c>
      <c r="R94" t="s">
        <v>302</v>
      </c>
      <c r="S94" s="7" t="s">
        <v>301</v>
      </c>
    </row>
    <row r="95" spans="1:20" x14ac:dyDescent="0.3">
      <c r="A95" t="s">
        <v>307</v>
      </c>
      <c r="B95">
        <v>765</v>
      </c>
      <c r="C95">
        <v>105</v>
      </c>
      <c r="H95">
        <v>30.38</v>
      </c>
      <c r="I95">
        <v>-5.07</v>
      </c>
      <c r="K95" t="s">
        <v>38</v>
      </c>
      <c r="M95" t="s">
        <v>303</v>
      </c>
      <c r="N95" t="s">
        <v>128</v>
      </c>
      <c r="P95" t="s">
        <v>39</v>
      </c>
      <c r="Q95" t="s">
        <v>49</v>
      </c>
      <c r="R95" t="s">
        <v>302</v>
      </c>
      <c r="S95" s="7" t="s">
        <v>301</v>
      </c>
      <c r="T95" s="12" t="s">
        <v>305</v>
      </c>
    </row>
    <row r="96" spans="1:20" x14ac:dyDescent="0.3">
      <c r="A96" t="s">
        <v>308</v>
      </c>
      <c r="B96">
        <v>210</v>
      </c>
      <c r="C96">
        <v>110</v>
      </c>
      <c r="H96">
        <v>30.38</v>
      </c>
      <c r="I96">
        <v>-5.07</v>
      </c>
      <c r="K96" t="s">
        <v>38</v>
      </c>
      <c r="M96" t="s">
        <v>303</v>
      </c>
      <c r="N96" t="s">
        <v>128</v>
      </c>
      <c r="P96" t="s">
        <v>39</v>
      </c>
      <c r="Q96" t="s">
        <v>49</v>
      </c>
      <c r="R96" t="s">
        <v>302</v>
      </c>
      <c r="S96" s="7" t="s">
        <v>301</v>
      </c>
      <c r="T96" s="12"/>
    </row>
    <row r="97" spans="1:20" x14ac:dyDescent="0.3">
      <c r="A97" t="s">
        <v>311</v>
      </c>
      <c r="B97" s="6">
        <v>1850</v>
      </c>
      <c r="C97">
        <v>115</v>
      </c>
      <c r="H97">
        <v>39.43</v>
      </c>
      <c r="I97">
        <v>-4.18</v>
      </c>
      <c r="K97" t="s">
        <v>38</v>
      </c>
      <c r="M97" t="s">
        <v>309</v>
      </c>
      <c r="N97" t="s">
        <v>27</v>
      </c>
      <c r="P97" t="s">
        <v>39</v>
      </c>
      <c r="Q97" t="s">
        <v>49</v>
      </c>
      <c r="R97" t="s">
        <v>302</v>
      </c>
      <c r="S97" s="7" t="s">
        <v>301</v>
      </c>
      <c r="T97" t="s">
        <v>316</v>
      </c>
    </row>
    <row r="98" spans="1:20" x14ac:dyDescent="0.3">
      <c r="A98" t="s">
        <v>312</v>
      </c>
      <c r="B98" s="6">
        <v>1780</v>
      </c>
      <c r="C98">
        <v>115</v>
      </c>
      <c r="H98">
        <v>39.43</v>
      </c>
      <c r="I98">
        <v>-4.2</v>
      </c>
      <c r="K98" t="s">
        <v>38</v>
      </c>
      <c r="M98" t="s">
        <v>310</v>
      </c>
      <c r="N98" t="s">
        <v>27</v>
      </c>
      <c r="P98" t="s">
        <v>39</v>
      </c>
      <c r="R98" t="s">
        <v>302</v>
      </c>
      <c r="S98" s="7" t="s">
        <v>301</v>
      </c>
      <c r="T98" t="s">
        <v>316</v>
      </c>
    </row>
    <row r="99" spans="1:20" x14ac:dyDescent="0.3">
      <c r="A99" t="s">
        <v>313</v>
      </c>
      <c r="B99">
        <v>1680</v>
      </c>
      <c r="C99">
        <v>110</v>
      </c>
      <c r="D99" t="s">
        <v>25</v>
      </c>
      <c r="H99">
        <v>39.43</v>
      </c>
      <c r="I99">
        <v>-4.2</v>
      </c>
      <c r="K99" t="s">
        <v>38</v>
      </c>
      <c r="M99" t="s">
        <v>315</v>
      </c>
      <c r="N99" t="s">
        <v>27</v>
      </c>
      <c r="P99" t="s">
        <v>39</v>
      </c>
      <c r="R99" t="s">
        <v>302</v>
      </c>
      <c r="S99" s="7" t="s">
        <v>301</v>
      </c>
      <c r="T99" t="s">
        <v>318</v>
      </c>
    </row>
    <row r="100" spans="1:20" x14ac:dyDescent="0.3">
      <c r="A100" t="s">
        <v>314</v>
      </c>
      <c r="B100">
        <v>1690</v>
      </c>
      <c r="C100">
        <v>110</v>
      </c>
      <c r="D100" t="s">
        <v>25</v>
      </c>
      <c r="H100">
        <v>39.43</v>
      </c>
      <c r="I100">
        <v>-4.2</v>
      </c>
      <c r="K100" t="s">
        <v>38</v>
      </c>
      <c r="M100" t="s">
        <v>315</v>
      </c>
      <c r="N100" t="s">
        <v>27</v>
      </c>
      <c r="P100" t="s">
        <v>39</v>
      </c>
      <c r="R100" t="s">
        <v>302</v>
      </c>
      <c r="S100" s="7" t="s">
        <v>301</v>
      </c>
      <c r="T100" t="s">
        <v>317</v>
      </c>
    </row>
    <row r="101" spans="1:20" x14ac:dyDescent="0.3">
      <c r="A101" t="s">
        <v>323</v>
      </c>
      <c r="B101">
        <v>1730</v>
      </c>
      <c r="C101">
        <v>115</v>
      </c>
      <c r="D101" t="s">
        <v>25</v>
      </c>
      <c r="H101">
        <v>38</v>
      </c>
      <c r="I101">
        <v>-4.2670000000000003</v>
      </c>
      <c r="K101" t="s">
        <v>38</v>
      </c>
      <c r="M101" t="s">
        <v>320</v>
      </c>
      <c r="N101" t="s">
        <v>128</v>
      </c>
      <c r="P101" t="s">
        <v>39</v>
      </c>
      <c r="Q101" t="s">
        <v>49</v>
      </c>
      <c r="R101" t="s">
        <v>328</v>
      </c>
      <c r="S101" s="7" t="s">
        <v>327</v>
      </c>
      <c r="T101" t="s">
        <v>325</v>
      </c>
    </row>
    <row r="102" spans="1:20" x14ac:dyDescent="0.3">
      <c r="A102" t="s">
        <v>324</v>
      </c>
      <c r="B102">
        <v>1060</v>
      </c>
      <c r="C102">
        <v>110</v>
      </c>
      <c r="D102" t="s">
        <v>25</v>
      </c>
      <c r="H102">
        <v>38</v>
      </c>
      <c r="I102">
        <v>-4.2670000000000003</v>
      </c>
      <c r="K102" t="s">
        <v>38</v>
      </c>
      <c r="M102" t="s">
        <v>321</v>
      </c>
      <c r="N102" t="s">
        <v>128</v>
      </c>
      <c r="P102" t="s">
        <v>39</v>
      </c>
      <c r="R102" t="s">
        <v>328</v>
      </c>
      <c r="S102" s="7" t="s">
        <v>327</v>
      </c>
      <c r="T102" t="s">
        <v>322</v>
      </c>
    </row>
    <row r="103" spans="1:20" x14ac:dyDescent="0.3">
      <c r="A103" t="s">
        <v>336</v>
      </c>
      <c r="B103">
        <v>1240</v>
      </c>
      <c r="C103">
        <v>100</v>
      </c>
      <c r="H103">
        <v>31.1</v>
      </c>
      <c r="I103">
        <v>-17.829999999999998</v>
      </c>
      <c r="K103" t="s">
        <v>38</v>
      </c>
      <c r="M103" t="s">
        <v>332</v>
      </c>
      <c r="N103" t="s">
        <v>178</v>
      </c>
      <c r="P103" t="s">
        <v>39</v>
      </c>
      <c r="Q103" t="s">
        <v>49</v>
      </c>
      <c r="R103" t="s">
        <v>334</v>
      </c>
      <c r="S103" s="7" t="s">
        <v>335</v>
      </c>
    </row>
    <row r="104" spans="1:20" x14ac:dyDescent="0.3">
      <c r="A104" t="s">
        <v>337</v>
      </c>
      <c r="B104">
        <v>970</v>
      </c>
      <c r="C104">
        <v>100</v>
      </c>
      <c r="H104">
        <v>31.1</v>
      </c>
      <c r="I104">
        <v>-17.829999999999998</v>
      </c>
      <c r="K104" t="s">
        <v>38</v>
      </c>
      <c r="M104" t="s">
        <v>332</v>
      </c>
      <c r="N104" t="s">
        <v>178</v>
      </c>
      <c r="P104" t="s">
        <v>39</v>
      </c>
      <c r="Q104" t="s">
        <v>49</v>
      </c>
      <c r="R104" t="s">
        <v>334</v>
      </c>
      <c r="S104" s="7" t="s">
        <v>335</v>
      </c>
    </row>
    <row r="105" spans="1:20" x14ac:dyDescent="0.3">
      <c r="A105" t="s">
        <v>338</v>
      </c>
      <c r="B105">
        <v>1260</v>
      </c>
      <c r="C105">
        <v>65</v>
      </c>
      <c r="H105">
        <v>29.966999999999999</v>
      </c>
      <c r="I105">
        <v>-20.317</v>
      </c>
      <c r="K105" t="s">
        <v>38</v>
      </c>
      <c r="M105" t="s">
        <v>340</v>
      </c>
      <c r="N105" t="s">
        <v>178</v>
      </c>
      <c r="P105" t="s">
        <v>39</v>
      </c>
      <c r="R105" t="s">
        <v>334</v>
      </c>
      <c r="S105" s="7" t="s">
        <v>335</v>
      </c>
      <c r="T105" t="s">
        <v>339</v>
      </c>
    </row>
    <row r="106" spans="1:20" x14ac:dyDescent="0.3">
      <c r="A106" t="s">
        <v>350</v>
      </c>
      <c r="B106">
        <v>540</v>
      </c>
      <c r="C106">
        <v>110</v>
      </c>
      <c r="D106" t="s">
        <v>25</v>
      </c>
      <c r="H106">
        <v>32.479999999999997</v>
      </c>
      <c r="I106">
        <v>-8.43</v>
      </c>
      <c r="K106" t="s">
        <v>38</v>
      </c>
      <c r="M106" t="s">
        <v>349</v>
      </c>
      <c r="N106" t="s">
        <v>128</v>
      </c>
      <c r="P106" t="s">
        <v>39</v>
      </c>
      <c r="Q106" t="s">
        <v>49</v>
      </c>
      <c r="R106" t="s">
        <v>346</v>
      </c>
      <c r="S106" s="7" t="s">
        <v>345</v>
      </c>
      <c r="T106" t="s">
        <v>354</v>
      </c>
    </row>
    <row r="107" spans="1:20" x14ac:dyDescent="0.3">
      <c r="A107" t="s">
        <v>351</v>
      </c>
      <c r="B107">
        <v>590</v>
      </c>
      <c r="C107">
        <v>115</v>
      </c>
      <c r="D107" t="s">
        <v>25</v>
      </c>
      <c r="H107">
        <v>32.479999999999997</v>
      </c>
      <c r="I107">
        <v>-8.43</v>
      </c>
      <c r="K107" t="s">
        <v>38</v>
      </c>
      <c r="M107" t="s">
        <v>349</v>
      </c>
      <c r="N107" t="s">
        <v>128</v>
      </c>
      <c r="P107" t="s">
        <v>39</v>
      </c>
      <c r="Q107" t="s">
        <v>49</v>
      </c>
      <c r="R107" t="s">
        <v>346</v>
      </c>
      <c r="S107" s="7" t="s">
        <v>345</v>
      </c>
      <c r="T107" t="s">
        <v>354</v>
      </c>
    </row>
    <row r="108" spans="1:20" x14ac:dyDescent="0.3">
      <c r="A108" t="s">
        <v>352</v>
      </c>
      <c r="B108">
        <v>715</v>
      </c>
      <c r="C108">
        <v>110</v>
      </c>
      <c r="D108" t="s">
        <v>25</v>
      </c>
      <c r="H108">
        <v>32.479999999999997</v>
      </c>
      <c r="I108">
        <v>-8.43</v>
      </c>
      <c r="K108" t="s">
        <v>38</v>
      </c>
      <c r="M108" t="s">
        <v>349</v>
      </c>
      <c r="N108" t="s">
        <v>128</v>
      </c>
      <c r="P108" t="s">
        <v>39</v>
      </c>
      <c r="Q108" t="s">
        <v>49</v>
      </c>
      <c r="R108" t="s">
        <v>346</v>
      </c>
      <c r="S108" s="7" t="s">
        <v>345</v>
      </c>
      <c r="T108" t="s">
        <v>354</v>
      </c>
    </row>
    <row r="109" spans="1:20" x14ac:dyDescent="0.3">
      <c r="A109" t="s">
        <v>353</v>
      </c>
      <c r="B109">
        <v>735</v>
      </c>
      <c r="C109">
        <v>110</v>
      </c>
      <c r="D109" t="s">
        <v>25</v>
      </c>
      <c r="H109">
        <v>32.479999999999997</v>
      </c>
      <c r="I109">
        <v>-8.43</v>
      </c>
      <c r="K109" t="s">
        <v>38</v>
      </c>
      <c r="M109" t="s">
        <v>349</v>
      </c>
      <c r="N109" t="s">
        <v>128</v>
      </c>
      <c r="P109" t="s">
        <v>39</v>
      </c>
      <c r="Q109" t="s">
        <v>49</v>
      </c>
      <c r="R109" t="s">
        <v>346</v>
      </c>
      <c r="S109" s="7" t="s">
        <v>345</v>
      </c>
      <c r="T109" t="s">
        <v>354</v>
      </c>
    </row>
    <row r="110" spans="1:20" x14ac:dyDescent="0.3">
      <c r="A110" t="s">
        <v>361</v>
      </c>
      <c r="B110">
        <v>1730</v>
      </c>
      <c r="C110">
        <v>130</v>
      </c>
      <c r="H110">
        <v>37.25</v>
      </c>
      <c r="I110">
        <v>-1</v>
      </c>
      <c r="K110" t="s">
        <v>38</v>
      </c>
      <c r="M110" t="s">
        <v>360</v>
      </c>
      <c r="N110" t="s">
        <v>27</v>
      </c>
      <c r="P110" t="s">
        <v>39</v>
      </c>
      <c r="Q110" t="s">
        <v>49</v>
      </c>
      <c r="R110" t="s">
        <v>358</v>
      </c>
      <c r="S110" s="7" t="s">
        <v>359</v>
      </c>
      <c r="T110" t="s">
        <v>357</v>
      </c>
    </row>
    <row r="111" spans="1:20" x14ac:dyDescent="0.3">
      <c r="A111" t="s">
        <v>362</v>
      </c>
      <c r="B111">
        <v>1760</v>
      </c>
      <c r="C111">
        <v>120</v>
      </c>
      <c r="H111">
        <v>37.25</v>
      </c>
      <c r="I111">
        <v>-1</v>
      </c>
      <c r="K111" t="s">
        <v>38</v>
      </c>
      <c r="M111" t="s">
        <v>360</v>
      </c>
      <c r="N111" t="s">
        <v>27</v>
      </c>
      <c r="P111" t="s">
        <v>39</v>
      </c>
      <c r="Q111" t="s">
        <v>49</v>
      </c>
      <c r="R111" t="s">
        <v>358</v>
      </c>
      <c r="S111" s="7" t="s">
        <v>359</v>
      </c>
      <c r="T111" t="s">
        <v>357</v>
      </c>
    </row>
    <row r="112" spans="1:20" x14ac:dyDescent="0.3">
      <c r="A112" t="s">
        <v>365</v>
      </c>
      <c r="B112">
        <v>1630</v>
      </c>
      <c r="C112">
        <v>155</v>
      </c>
      <c r="H112">
        <v>37.770000000000003</v>
      </c>
      <c r="I112">
        <v>0.42</v>
      </c>
      <c r="K112" t="s">
        <v>38</v>
      </c>
      <c r="M112" t="s">
        <v>364</v>
      </c>
      <c r="N112" t="s">
        <v>27</v>
      </c>
      <c r="P112" t="s">
        <v>39</v>
      </c>
      <c r="Q112" t="s">
        <v>49</v>
      </c>
      <c r="R112" t="s">
        <v>358</v>
      </c>
      <c r="S112" s="7" t="s">
        <v>359</v>
      </c>
      <c r="T112" t="s">
        <v>363</v>
      </c>
    </row>
    <row r="113" spans="1:20" x14ac:dyDescent="0.3">
      <c r="A113" t="s">
        <v>367</v>
      </c>
      <c r="B113">
        <v>1760</v>
      </c>
      <c r="C113">
        <v>160</v>
      </c>
      <c r="H113">
        <v>34.25</v>
      </c>
      <c r="I113">
        <v>0.33</v>
      </c>
      <c r="K113" t="s">
        <v>38</v>
      </c>
      <c r="M113" t="s">
        <v>366</v>
      </c>
      <c r="N113" t="s">
        <v>27</v>
      </c>
      <c r="P113" t="s">
        <v>39</v>
      </c>
      <c r="Q113" t="s">
        <v>49</v>
      </c>
      <c r="R113" t="s">
        <v>358</v>
      </c>
      <c r="S113" s="7" t="s">
        <v>359</v>
      </c>
      <c r="T113" t="s">
        <v>368</v>
      </c>
    </row>
    <row r="114" spans="1:20" x14ac:dyDescent="0.3">
      <c r="A114" t="s">
        <v>371</v>
      </c>
      <c r="B114">
        <v>930</v>
      </c>
      <c r="C114">
        <v>50</v>
      </c>
      <c r="H114">
        <v>29.58</v>
      </c>
      <c r="I114">
        <v>-13.97</v>
      </c>
      <c r="K114" t="s">
        <v>38</v>
      </c>
      <c r="M114" t="s">
        <v>369</v>
      </c>
      <c r="N114" t="s">
        <v>163</v>
      </c>
      <c r="P114" t="s">
        <v>39</v>
      </c>
      <c r="Q114" t="s">
        <v>49</v>
      </c>
      <c r="R114" t="s">
        <v>358</v>
      </c>
      <c r="S114" s="7" t="s">
        <v>359</v>
      </c>
      <c r="T114" t="s">
        <v>370</v>
      </c>
    </row>
    <row r="115" spans="1:20" x14ac:dyDescent="0.3">
      <c r="A115" t="s">
        <v>372</v>
      </c>
      <c r="B115">
        <v>2169</v>
      </c>
      <c r="C115">
        <v>50</v>
      </c>
      <c r="H115">
        <v>29.58</v>
      </c>
      <c r="I115">
        <v>-13.97</v>
      </c>
      <c r="K115" t="s">
        <v>38</v>
      </c>
      <c r="M115" t="s">
        <v>369</v>
      </c>
      <c r="N115" t="s">
        <v>163</v>
      </c>
      <c r="P115" t="s">
        <v>39</v>
      </c>
      <c r="Q115" t="s">
        <v>49</v>
      </c>
      <c r="R115" t="s">
        <v>358</v>
      </c>
      <c r="S115" s="7" t="s">
        <v>359</v>
      </c>
      <c r="T115" t="s">
        <v>370</v>
      </c>
    </row>
    <row r="116" spans="1:20" x14ac:dyDescent="0.3">
      <c r="A116" t="s">
        <v>376</v>
      </c>
      <c r="B116">
        <v>1770</v>
      </c>
      <c r="C116">
        <v>70</v>
      </c>
      <c r="H116">
        <v>28.6</v>
      </c>
      <c r="I116">
        <v>-14.28</v>
      </c>
      <c r="K116" t="s">
        <v>38</v>
      </c>
      <c r="M116" t="s">
        <v>384</v>
      </c>
      <c r="N116" t="s">
        <v>163</v>
      </c>
      <c r="P116" t="s">
        <v>39</v>
      </c>
      <c r="Q116" t="s">
        <v>49</v>
      </c>
      <c r="R116" t="s">
        <v>88</v>
      </c>
      <c r="S116" s="2" t="s">
        <v>87</v>
      </c>
      <c r="T116" t="s">
        <v>383</v>
      </c>
    </row>
    <row r="117" spans="1:20" x14ac:dyDescent="0.3">
      <c r="A117" t="s">
        <v>377</v>
      </c>
      <c r="B117">
        <v>1590</v>
      </c>
      <c r="C117">
        <v>70</v>
      </c>
      <c r="H117">
        <v>28.6</v>
      </c>
      <c r="I117">
        <v>-14.28</v>
      </c>
      <c r="K117" t="s">
        <v>38</v>
      </c>
      <c r="M117" t="s">
        <v>384</v>
      </c>
      <c r="N117" t="s">
        <v>163</v>
      </c>
      <c r="P117" t="s">
        <v>39</v>
      </c>
      <c r="Q117" t="s">
        <v>49</v>
      </c>
      <c r="R117" t="s">
        <v>88</v>
      </c>
      <c r="S117" s="2" t="s">
        <v>87</v>
      </c>
      <c r="T117" t="s">
        <v>383</v>
      </c>
    </row>
    <row r="118" spans="1:20" x14ac:dyDescent="0.3">
      <c r="A118" t="s">
        <v>378</v>
      </c>
      <c r="B118">
        <v>1810</v>
      </c>
      <c r="C118">
        <v>80</v>
      </c>
      <c r="H118">
        <v>28.6</v>
      </c>
      <c r="I118">
        <v>-14.28</v>
      </c>
      <c r="K118" t="s">
        <v>38</v>
      </c>
      <c r="M118" t="s">
        <v>384</v>
      </c>
      <c r="N118" t="s">
        <v>163</v>
      </c>
      <c r="P118" t="s">
        <v>39</v>
      </c>
      <c r="Q118" t="s">
        <v>49</v>
      </c>
      <c r="R118" t="s">
        <v>88</v>
      </c>
      <c r="S118" s="2" t="s">
        <v>87</v>
      </c>
      <c r="T118" t="s">
        <v>383</v>
      </c>
    </row>
    <row r="119" spans="1:20" x14ac:dyDescent="0.3">
      <c r="A119" t="s">
        <v>379</v>
      </c>
      <c r="B119">
        <v>1470</v>
      </c>
      <c r="C119">
        <v>90</v>
      </c>
      <c r="H119">
        <v>28.6</v>
      </c>
      <c r="I119">
        <v>-14.28</v>
      </c>
      <c r="K119" t="s">
        <v>38</v>
      </c>
      <c r="M119" t="s">
        <v>384</v>
      </c>
      <c r="N119" t="s">
        <v>163</v>
      </c>
      <c r="P119" t="s">
        <v>39</v>
      </c>
      <c r="Q119" t="s">
        <v>49</v>
      </c>
      <c r="R119" t="s">
        <v>88</v>
      </c>
      <c r="S119" s="2" t="s">
        <v>87</v>
      </c>
      <c r="T119" t="s">
        <v>383</v>
      </c>
    </row>
    <row r="120" spans="1:20" x14ac:dyDescent="0.3">
      <c r="A120" t="s">
        <v>380</v>
      </c>
      <c r="B120">
        <v>2029</v>
      </c>
      <c r="C120">
        <v>90</v>
      </c>
      <c r="H120">
        <v>28.6</v>
      </c>
      <c r="I120">
        <v>-14.28</v>
      </c>
      <c r="K120" t="s">
        <v>38</v>
      </c>
      <c r="M120" t="s">
        <v>384</v>
      </c>
      <c r="N120" t="s">
        <v>163</v>
      </c>
      <c r="P120" t="s">
        <v>39</v>
      </c>
      <c r="Q120" t="s">
        <v>49</v>
      </c>
      <c r="R120" t="s">
        <v>88</v>
      </c>
      <c r="S120" s="2" t="s">
        <v>87</v>
      </c>
      <c r="T120" t="s">
        <v>383</v>
      </c>
    </row>
    <row r="121" spans="1:20" x14ac:dyDescent="0.3">
      <c r="A121" t="s">
        <v>381</v>
      </c>
      <c r="B121">
        <v>1530</v>
      </c>
      <c r="C121">
        <v>70</v>
      </c>
      <c r="H121">
        <v>28.6</v>
      </c>
      <c r="I121">
        <v>-14.28</v>
      </c>
      <c r="K121" t="s">
        <v>38</v>
      </c>
      <c r="M121" t="s">
        <v>384</v>
      </c>
      <c r="N121" t="s">
        <v>163</v>
      </c>
      <c r="P121" t="s">
        <v>39</v>
      </c>
      <c r="Q121" t="s">
        <v>49</v>
      </c>
      <c r="R121" t="s">
        <v>88</v>
      </c>
      <c r="S121" s="2" t="s">
        <v>87</v>
      </c>
      <c r="T121" t="s">
        <v>383</v>
      </c>
    </row>
    <row r="122" spans="1:20" x14ac:dyDescent="0.3">
      <c r="A122" t="s">
        <v>382</v>
      </c>
      <c r="B122">
        <v>2039</v>
      </c>
      <c r="C122">
        <v>70</v>
      </c>
      <c r="H122">
        <v>28.6</v>
      </c>
      <c r="I122">
        <v>-14.28</v>
      </c>
      <c r="K122" t="s">
        <v>38</v>
      </c>
      <c r="M122" t="s">
        <v>384</v>
      </c>
      <c r="N122" t="s">
        <v>163</v>
      </c>
      <c r="P122" t="s">
        <v>39</v>
      </c>
      <c r="Q122" t="s">
        <v>49</v>
      </c>
      <c r="R122" t="s">
        <v>88</v>
      </c>
      <c r="S122" s="2" t="s">
        <v>87</v>
      </c>
      <c r="T122" t="s">
        <v>383</v>
      </c>
    </row>
    <row r="123" spans="1:20" x14ac:dyDescent="0.3">
      <c r="A123" t="s">
        <v>385</v>
      </c>
      <c r="B123">
        <v>2329</v>
      </c>
      <c r="C123">
        <v>65</v>
      </c>
      <c r="H123">
        <v>24.12</v>
      </c>
      <c r="I123">
        <v>-17.2</v>
      </c>
      <c r="K123" t="s">
        <v>38</v>
      </c>
      <c r="M123" t="s">
        <v>389</v>
      </c>
      <c r="N123" t="s">
        <v>163</v>
      </c>
      <c r="P123" t="s">
        <v>39</v>
      </c>
      <c r="Q123" t="s">
        <v>49</v>
      </c>
      <c r="R123" t="s">
        <v>88</v>
      </c>
      <c r="S123" s="2" t="s">
        <v>87</v>
      </c>
    </row>
    <row r="124" spans="1:20" x14ac:dyDescent="0.3">
      <c r="A124" t="s">
        <v>386</v>
      </c>
      <c r="B124">
        <v>1110</v>
      </c>
      <c r="C124">
        <v>80</v>
      </c>
      <c r="H124">
        <v>24.12</v>
      </c>
      <c r="I124">
        <v>-17.2</v>
      </c>
      <c r="K124" t="s">
        <v>38</v>
      </c>
      <c r="M124" t="s">
        <v>389</v>
      </c>
      <c r="N124" t="s">
        <v>163</v>
      </c>
      <c r="P124" t="s">
        <v>39</v>
      </c>
      <c r="Q124" t="s">
        <v>49</v>
      </c>
      <c r="R124" t="s">
        <v>88</v>
      </c>
      <c r="S124" s="2" t="s">
        <v>87</v>
      </c>
    </row>
    <row r="125" spans="1:20" x14ac:dyDescent="0.3">
      <c r="A125" t="s">
        <v>387</v>
      </c>
      <c r="B125">
        <v>1300</v>
      </c>
      <c r="C125">
        <v>75</v>
      </c>
      <c r="H125">
        <v>24.12</v>
      </c>
      <c r="I125">
        <v>-17.2</v>
      </c>
      <c r="K125" t="s">
        <v>38</v>
      </c>
      <c r="M125" t="s">
        <v>389</v>
      </c>
      <c r="N125" t="s">
        <v>163</v>
      </c>
      <c r="P125" t="s">
        <v>39</v>
      </c>
      <c r="Q125" t="s">
        <v>49</v>
      </c>
      <c r="R125" t="s">
        <v>88</v>
      </c>
      <c r="S125" s="2" t="s">
        <v>87</v>
      </c>
    </row>
    <row r="126" spans="1:20" x14ac:dyDescent="0.3">
      <c r="A126" t="s">
        <v>388</v>
      </c>
      <c r="B126">
        <v>1420</v>
      </c>
      <c r="C126">
        <v>95</v>
      </c>
      <c r="H126">
        <v>24.12</v>
      </c>
      <c r="I126">
        <v>-17.2</v>
      </c>
      <c r="K126" t="s">
        <v>38</v>
      </c>
      <c r="M126" t="s">
        <v>389</v>
      </c>
      <c r="N126" t="s">
        <v>163</v>
      </c>
      <c r="P126" t="s">
        <v>39</v>
      </c>
      <c r="Q126" t="s">
        <v>49</v>
      </c>
      <c r="R126" t="s">
        <v>88</v>
      </c>
      <c r="S126" s="2" t="s">
        <v>87</v>
      </c>
    </row>
    <row r="127" spans="1:20" x14ac:dyDescent="0.3">
      <c r="A127" t="s">
        <v>396</v>
      </c>
      <c r="B127">
        <v>1310</v>
      </c>
      <c r="C127">
        <v>50</v>
      </c>
      <c r="H127">
        <v>29.68</v>
      </c>
      <c r="I127">
        <v>-16.87</v>
      </c>
      <c r="K127" t="s">
        <v>38</v>
      </c>
      <c r="M127" t="s">
        <v>397</v>
      </c>
      <c r="N127" t="s">
        <v>178</v>
      </c>
      <c r="P127" t="s">
        <v>39</v>
      </c>
      <c r="Q127" t="s">
        <v>49</v>
      </c>
      <c r="R127" t="s">
        <v>391</v>
      </c>
      <c r="S127" s="2" t="s">
        <v>392</v>
      </c>
      <c r="T127" t="s">
        <v>395</v>
      </c>
    </row>
    <row r="128" spans="1:20" x14ac:dyDescent="0.3">
      <c r="A128" t="s">
        <v>399</v>
      </c>
      <c r="B128">
        <v>1700</v>
      </c>
      <c r="C128">
        <v>330</v>
      </c>
      <c r="H128">
        <v>37.58</v>
      </c>
      <c r="I128">
        <v>-3.27</v>
      </c>
      <c r="K128" t="s">
        <v>38</v>
      </c>
      <c r="M128" t="s">
        <v>398</v>
      </c>
      <c r="N128" t="s">
        <v>128</v>
      </c>
      <c r="P128" t="s">
        <v>39</v>
      </c>
      <c r="Q128" t="s">
        <v>49</v>
      </c>
      <c r="R128" t="s">
        <v>400</v>
      </c>
      <c r="S128" s="7" t="s">
        <v>401</v>
      </c>
      <c r="T128" t="s">
        <v>402</v>
      </c>
    </row>
    <row r="129" spans="1:20" x14ac:dyDescent="0.3">
      <c r="A129" t="s">
        <v>410</v>
      </c>
      <c r="B129">
        <v>2100</v>
      </c>
      <c r="C129">
        <v>80</v>
      </c>
      <c r="H129">
        <v>33.880000000000003</v>
      </c>
      <c r="I129">
        <v>-9.9499999999999993</v>
      </c>
      <c r="K129" t="s">
        <v>38</v>
      </c>
      <c r="M129" t="s">
        <v>409</v>
      </c>
      <c r="N129" t="s">
        <v>90</v>
      </c>
      <c r="P129" t="s">
        <v>39</v>
      </c>
      <c r="Q129" t="s">
        <v>49</v>
      </c>
      <c r="R129" t="s">
        <v>405</v>
      </c>
      <c r="S129" s="7" t="s">
        <v>406</v>
      </c>
      <c r="T129" t="s">
        <v>407</v>
      </c>
    </row>
    <row r="130" spans="1:20" x14ac:dyDescent="0.3">
      <c r="A130" t="s">
        <v>411</v>
      </c>
      <c r="B130">
        <v>150</v>
      </c>
      <c r="C130">
        <v>60</v>
      </c>
      <c r="H130">
        <v>33.880000000000003</v>
      </c>
      <c r="I130">
        <v>-9.9499999999999993</v>
      </c>
      <c r="K130" t="s">
        <v>38</v>
      </c>
      <c r="M130" t="s">
        <v>409</v>
      </c>
      <c r="N130" t="s">
        <v>90</v>
      </c>
      <c r="P130" t="s">
        <v>39</v>
      </c>
      <c r="Q130" t="s">
        <v>49</v>
      </c>
      <c r="R130" t="s">
        <v>405</v>
      </c>
      <c r="S130" s="7" t="s">
        <v>406</v>
      </c>
      <c r="T130" t="s">
        <v>408</v>
      </c>
    </row>
    <row r="131" spans="1:20" x14ac:dyDescent="0.3">
      <c r="A131" t="s">
        <v>412</v>
      </c>
      <c r="B131">
        <v>1529</v>
      </c>
      <c r="C131">
        <v>110</v>
      </c>
      <c r="H131">
        <v>25.53</v>
      </c>
      <c r="I131">
        <v>-17.62</v>
      </c>
      <c r="K131" t="s">
        <v>38</v>
      </c>
      <c r="M131" t="s">
        <v>418</v>
      </c>
      <c r="N131" t="s">
        <v>163</v>
      </c>
      <c r="P131" t="s">
        <v>39</v>
      </c>
      <c r="Q131" t="s">
        <v>49</v>
      </c>
      <c r="R131" t="s">
        <v>405</v>
      </c>
      <c r="S131" s="7" t="s">
        <v>406</v>
      </c>
      <c r="T131" s="10" t="s">
        <v>419</v>
      </c>
    </row>
    <row r="132" spans="1:20" x14ac:dyDescent="0.3">
      <c r="A132" t="s">
        <v>413</v>
      </c>
      <c r="B132">
        <v>1390</v>
      </c>
      <c r="C132">
        <v>110</v>
      </c>
      <c r="H132">
        <v>25.53</v>
      </c>
      <c r="I132">
        <v>-17.62</v>
      </c>
      <c r="K132" t="s">
        <v>38</v>
      </c>
      <c r="M132" t="s">
        <v>418</v>
      </c>
      <c r="N132" t="s">
        <v>163</v>
      </c>
      <c r="P132" t="s">
        <v>39</v>
      </c>
      <c r="Q132" t="s">
        <v>49</v>
      </c>
      <c r="R132" t="s">
        <v>405</v>
      </c>
      <c r="S132" s="7" t="s">
        <v>406</v>
      </c>
      <c r="T132" s="10" t="s">
        <v>419</v>
      </c>
    </row>
    <row r="133" spans="1:20" x14ac:dyDescent="0.3">
      <c r="A133" t="s">
        <v>414</v>
      </c>
      <c r="B133">
        <v>1400</v>
      </c>
      <c r="C133">
        <v>110</v>
      </c>
      <c r="H133">
        <v>25.53</v>
      </c>
      <c r="I133">
        <v>-17.62</v>
      </c>
      <c r="K133" t="s">
        <v>38</v>
      </c>
      <c r="M133" t="s">
        <v>418</v>
      </c>
      <c r="N133" t="s">
        <v>163</v>
      </c>
      <c r="P133" t="s">
        <v>39</v>
      </c>
      <c r="Q133" t="s">
        <v>49</v>
      </c>
      <c r="R133" t="s">
        <v>405</v>
      </c>
      <c r="S133" s="7" t="s">
        <v>406</v>
      </c>
      <c r="T133" s="10" t="s">
        <v>419</v>
      </c>
    </row>
    <row r="134" spans="1:20" x14ac:dyDescent="0.3">
      <c r="A134" t="s">
        <v>415</v>
      </c>
      <c r="B134">
        <v>1330</v>
      </c>
      <c r="C134">
        <v>110</v>
      </c>
      <c r="H134">
        <v>25.53</v>
      </c>
      <c r="I134">
        <v>-17.62</v>
      </c>
      <c r="K134" t="s">
        <v>38</v>
      </c>
      <c r="M134" t="s">
        <v>418</v>
      </c>
      <c r="N134" t="s">
        <v>163</v>
      </c>
      <c r="P134" t="s">
        <v>39</v>
      </c>
      <c r="Q134" t="s">
        <v>49</v>
      </c>
      <c r="R134" t="s">
        <v>405</v>
      </c>
      <c r="S134" s="7" t="s">
        <v>406</v>
      </c>
      <c r="T134" s="10" t="s">
        <v>419</v>
      </c>
    </row>
    <row r="135" spans="1:20" x14ac:dyDescent="0.3">
      <c r="A135" t="s">
        <v>416</v>
      </c>
      <c r="B135">
        <v>1320</v>
      </c>
      <c r="C135">
        <v>110</v>
      </c>
      <c r="H135">
        <v>25.53</v>
      </c>
      <c r="I135">
        <v>-17.62</v>
      </c>
      <c r="K135" t="s">
        <v>38</v>
      </c>
      <c r="M135" t="s">
        <v>418</v>
      </c>
      <c r="N135" t="s">
        <v>163</v>
      </c>
      <c r="P135" t="s">
        <v>39</v>
      </c>
      <c r="Q135" t="s">
        <v>49</v>
      </c>
      <c r="R135" t="s">
        <v>405</v>
      </c>
      <c r="S135" s="7" t="s">
        <v>406</v>
      </c>
      <c r="T135" s="10" t="s">
        <v>419</v>
      </c>
    </row>
    <row r="136" spans="1:20" x14ac:dyDescent="0.3">
      <c r="A136" t="s">
        <v>417</v>
      </c>
      <c r="B136">
        <v>1260</v>
      </c>
      <c r="C136">
        <v>105</v>
      </c>
      <c r="H136">
        <v>25.53</v>
      </c>
      <c r="I136">
        <v>-17.62</v>
      </c>
      <c r="K136" t="s">
        <v>38</v>
      </c>
      <c r="M136" t="s">
        <v>418</v>
      </c>
      <c r="N136" t="s">
        <v>163</v>
      </c>
      <c r="P136" t="s">
        <v>39</v>
      </c>
      <c r="Q136" t="s">
        <v>49</v>
      </c>
      <c r="R136" t="s">
        <v>405</v>
      </c>
      <c r="S136" s="7" t="s">
        <v>406</v>
      </c>
      <c r="T136" s="10" t="s">
        <v>419</v>
      </c>
    </row>
    <row r="137" spans="1:20" x14ac:dyDescent="0.3">
      <c r="A137" t="s">
        <v>423</v>
      </c>
      <c r="B137">
        <v>1670</v>
      </c>
      <c r="C137">
        <v>40</v>
      </c>
      <c r="D137" t="s">
        <v>25</v>
      </c>
      <c r="H137">
        <v>31.203199999999999</v>
      </c>
      <c r="I137">
        <v>-18.206499999999998</v>
      </c>
      <c r="K137" t="s">
        <v>38</v>
      </c>
      <c r="M137" t="s">
        <v>420</v>
      </c>
      <c r="N137" t="s">
        <v>163</v>
      </c>
      <c r="P137" t="s">
        <v>39</v>
      </c>
      <c r="Q137" t="s">
        <v>49</v>
      </c>
      <c r="R137" t="s">
        <v>421</v>
      </c>
      <c r="S137" s="2" t="s">
        <v>422</v>
      </c>
    </row>
    <row r="138" spans="1:20" x14ac:dyDescent="0.3">
      <c r="A138" t="s">
        <v>424</v>
      </c>
      <c r="B138">
        <v>1340</v>
      </c>
      <c r="C138">
        <v>40</v>
      </c>
      <c r="D138" t="s">
        <v>25</v>
      </c>
      <c r="H138">
        <v>31.203199999999999</v>
      </c>
      <c r="I138">
        <v>-18.206499999999998</v>
      </c>
      <c r="K138" t="s">
        <v>38</v>
      </c>
      <c r="M138" t="s">
        <v>420</v>
      </c>
      <c r="N138" t="s">
        <v>163</v>
      </c>
      <c r="P138" t="s">
        <v>39</v>
      </c>
      <c r="Q138" t="s">
        <v>49</v>
      </c>
      <c r="R138" t="s">
        <v>421</v>
      </c>
      <c r="S138" s="2" t="s">
        <v>422</v>
      </c>
    </row>
    <row r="139" spans="1:20" x14ac:dyDescent="0.3">
      <c r="A139" t="s">
        <v>425</v>
      </c>
      <c r="B139">
        <v>1410</v>
      </c>
      <c r="C139">
        <v>40</v>
      </c>
      <c r="D139" t="s">
        <v>25</v>
      </c>
      <c r="H139">
        <v>31.203199999999999</v>
      </c>
      <c r="I139">
        <v>-18.206499999999998</v>
      </c>
      <c r="K139" t="s">
        <v>38</v>
      </c>
      <c r="M139" t="s">
        <v>420</v>
      </c>
      <c r="N139" t="s">
        <v>163</v>
      </c>
      <c r="P139" t="s">
        <v>39</v>
      </c>
      <c r="Q139" t="s">
        <v>49</v>
      </c>
      <c r="R139" t="s">
        <v>421</v>
      </c>
      <c r="S139" s="2" t="s">
        <v>422</v>
      </c>
    </row>
    <row r="140" spans="1:20" x14ac:dyDescent="0.3">
      <c r="A140" t="s">
        <v>426</v>
      </c>
      <c r="B140">
        <v>1370</v>
      </c>
      <c r="C140">
        <v>90</v>
      </c>
      <c r="D140" t="s">
        <v>25</v>
      </c>
      <c r="H140">
        <v>31.203199999999999</v>
      </c>
      <c r="I140">
        <v>-18.206499999999998</v>
      </c>
      <c r="K140" t="s">
        <v>38</v>
      </c>
      <c r="M140" t="s">
        <v>420</v>
      </c>
      <c r="N140" t="s">
        <v>163</v>
      </c>
      <c r="P140" t="s">
        <v>39</v>
      </c>
      <c r="Q140" t="s">
        <v>49</v>
      </c>
      <c r="R140" t="s">
        <v>421</v>
      </c>
      <c r="S140" s="2" t="s">
        <v>422</v>
      </c>
    </row>
    <row r="141" spans="1:20" x14ac:dyDescent="0.3">
      <c r="A141" t="s">
        <v>427</v>
      </c>
      <c r="B141">
        <v>1010</v>
      </c>
      <c r="C141">
        <v>130</v>
      </c>
      <c r="D141" t="s">
        <v>25</v>
      </c>
      <c r="H141">
        <v>31.203199999999999</v>
      </c>
      <c r="I141">
        <v>-18.206499999999998</v>
      </c>
      <c r="K141" t="s">
        <v>38</v>
      </c>
      <c r="M141" t="s">
        <v>420</v>
      </c>
      <c r="N141" t="s">
        <v>163</v>
      </c>
      <c r="P141" t="s">
        <v>39</v>
      </c>
      <c r="Q141" t="s">
        <v>49</v>
      </c>
      <c r="R141" t="s">
        <v>421</v>
      </c>
      <c r="S141" s="2" t="s">
        <v>422</v>
      </c>
    </row>
    <row r="142" spans="1:20" x14ac:dyDescent="0.3">
      <c r="A142" t="s">
        <v>428</v>
      </c>
      <c r="B142">
        <v>1600</v>
      </c>
      <c r="C142">
        <v>40</v>
      </c>
      <c r="D142" t="s">
        <v>25</v>
      </c>
      <c r="H142">
        <v>31.203199999999999</v>
      </c>
      <c r="I142">
        <v>-18.206499999999998</v>
      </c>
      <c r="K142" t="s">
        <v>38</v>
      </c>
      <c r="M142" t="s">
        <v>420</v>
      </c>
      <c r="N142" t="s">
        <v>163</v>
      </c>
      <c r="P142" t="s">
        <v>39</v>
      </c>
      <c r="Q142" t="s">
        <v>49</v>
      </c>
      <c r="R142" t="s">
        <v>421</v>
      </c>
      <c r="S142" s="2" t="s">
        <v>422</v>
      </c>
    </row>
    <row r="143" spans="1:20" x14ac:dyDescent="0.3">
      <c r="A143" t="s">
        <v>429</v>
      </c>
      <c r="B143">
        <v>1480</v>
      </c>
      <c r="C143">
        <v>40</v>
      </c>
      <c r="D143" t="s">
        <v>25</v>
      </c>
      <c r="H143">
        <v>31.203199999999999</v>
      </c>
      <c r="I143">
        <v>-18.206499999999998</v>
      </c>
      <c r="K143" t="s">
        <v>38</v>
      </c>
      <c r="M143" t="s">
        <v>420</v>
      </c>
      <c r="N143" t="s">
        <v>163</v>
      </c>
      <c r="P143" t="s">
        <v>39</v>
      </c>
      <c r="Q143" t="s">
        <v>49</v>
      </c>
      <c r="R143" t="s">
        <v>421</v>
      </c>
      <c r="S143" s="2" t="s">
        <v>422</v>
      </c>
    </row>
    <row r="144" spans="1:20" x14ac:dyDescent="0.3">
      <c r="A144" t="s">
        <v>434</v>
      </c>
      <c r="B144">
        <v>1620</v>
      </c>
      <c r="C144">
        <v>50</v>
      </c>
      <c r="D144" t="s">
        <v>25</v>
      </c>
      <c r="H144">
        <v>31.17</v>
      </c>
      <c r="I144">
        <v>-26.28</v>
      </c>
      <c r="K144" t="s">
        <v>38</v>
      </c>
      <c r="M144" t="s">
        <v>430</v>
      </c>
      <c r="N144" t="s">
        <v>431</v>
      </c>
      <c r="P144" t="s">
        <v>39</v>
      </c>
      <c r="Q144" t="s">
        <v>49</v>
      </c>
      <c r="R144" t="s">
        <v>433</v>
      </c>
      <c r="S144" s="7" t="s">
        <v>432</v>
      </c>
      <c r="T144" t="s">
        <v>435</v>
      </c>
    </row>
    <row r="145" spans="1:21" x14ac:dyDescent="0.3">
      <c r="A145" t="s">
        <v>436</v>
      </c>
      <c r="B145">
        <v>750</v>
      </c>
      <c r="C145">
        <v>135</v>
      </c>
      <c r="D145" t="s">
        <v>25</v>
      </c>
      <c r="H145">
        <v>27.234000000000002</v>
      </c>
      <c r="I145">
        <v>-15.991</v>
      </c>
      <c r="K145" t="s">
        <v>38</v>
      </c>
      <c r="M145" t="s">
        <v>635</v>
      </c>
      <c r="N145" t="s">
        <v>163</v>
      </c>
      <c r="P145" t="s">
        <v>39</v>
      </c>
      <c r="R145" t="s">
        <v>437</v>
      </c>
      <c r="S145" s="7" t="s">
        <v>438</v>
      </c>
      <c r="T145" t="s">
        <v>665</v>
      </c>
    </row>
    <row r="146" spans="1:21" x14ac:dyDescent="0.3">
      <c r="A146" t="s">
        <v>444</v>
      </c>
      <c r="B146">
        <v>1870</v>
      </c>
      <c r="C146">
        <v>35</v>
      </c>
      <c r="D146" t="s">
        <v>25</v>
      </c>
      <c r="H146">
        <v>40.1556</v>
      </c>
      <c r="I146">
        <v>-13.725</v>
      </c>
      <c r="K146" t="s">
        <v>440</v>
      </c>
      <c r="M146" t="s">
        <v>442</v>
      </c>
      <c r="N146" t="s">
        <v>441</v>
      </c>
      <c r="P146" t="s">
        <v>39</v>
      </c>
      <c r="Q146" t="s">
        <v>439</v>
      </c>
      <c r="R146" t="s">
        <v>448</v>
      </c>
      <c r="S146" s="7" t="s">
        <v>449</v>
      </c>
      <c r="T146" t="s">
        <v>443</v>
      </c>
    </row>
    <row r="147" spans="1:21" x14ac:dyDescent="0.3">
      <c r="A147" t="s">
        <v>447</v>
      </c>
      <c r="B147">
        <v>1740</v>
      </c>
      <c r="C147">
        <v>40</v>
      </c>
      <c r="D147" t="s">
        <v>25</v>
      </c>
      <c r="H147">
        <v>36.97</v>
      </c>
      <c r="I147">
        <v>-15.47</v>
      </c>
      <c r="K147" t="s">
        <v>440</v>
      </c>
      <c r="M147" t="s">
        <v>445</v>
      </c>
      <c r="N147" t="s">
        <v>441</v>
      </c>
      <c r="P147" t="s">
        <v>39</v>
      </c>
      <c r="R147" t="s">
        <v>448</v>
      </c>
      <c r="S147" s="7" t="s">
        <v>449</v>
      </c>
      <c r="T147" t="s">
        <v>446</v>
      </c>
      <c r="U147" t="s">
        <v>490</v>
      </c>
    </row>
    <row r="148" spans="1:21" x14ac:dyDescent="0.3">
      <c r="A148" t="s">
        <v>452</v>
      </c>
      <c r="B148">
        <v>1892</v>
      </c>
      <c r="C148">
        <v>30</v>
      </c>
      <c r="D148" t="s">
        <v>451</v>
      </c>
      <c r="H148">
        <v>35.695999999999998</v>
      </c>
      <c r="I148">
        <v>-18.126000000000001</v>
      </c>
      <c r="K148" t="s">
        <v>38</v>
      </c>
      <c r="M148" t="s">
        <v>450</v>
      </c>
      <c r="N148" t="s">
        <v>441</v>
      </c>
      <c r="P148" t="s">
        <v>39</v>
      </c>
      <c r="Q148" t="s">
        <v>439</v>
      </c>
      <c r="R148" t="s">
        <v>455</v>
      </c>
      <c r="S148" s="7" t="s">
        <v>456</v>
      </c>
      <c r="T148" t="s">
        <v>454</v>
      </c>
    </row>
    <row r="149" spans="1:21" x14ac:dyDescent="0.3">
      <c r="A149" t="s">
        <v>453</v>
      </c>
      <c r="B149">
        <v>1999</v>
      </c>
      <c r="C149">
        <v>30</v>
      </c>
      <c r="D149" t="s">
        <v>451</v>
      </c>
      <c r="H149">
        <v>35.695999999999998</v>
      </c>
      <c r="I149">
        <v>-18.126000000000001</v>
      </c>
      <c r="K149" t="s">
        <v>38</v>
      </c>
      <c r="M149" t="s">
        <v>450</v>
      </c>
      <c r="N149" t="s">
        <v>441</v>
      </c>
      <c r="P149" t="s">
        <v>39</v>
      </c>
      <c r="Q149" t="s">
        <v>439</v>
      </c>
      <c r="R149" t="s">
        <v>455</v>
      </c>
      <c r="S149" s="7" t="s">
        <v>456</v>
      </c>
      <c r="T149" t="s">
        <v>454</v>
      </c>
    </row>
    <row r="150" spans="1:21" x14ac:dyDescent="0.3">
      <c r="A150" t="s">
        <v>457</v>
      </c>
      <c r="B150">
        <v>1580</v>
      </c>
      <c r="C150">
        <v>60</v>
      </c>
      <c r="H150">
        <v>34.67</v>
      </c>
      <c r="I150">
        <v>-14.58</v>
      </c>
      <c r="K150" t="s">
        <v>38</v>
      </c>
      <c r="M150" t="s">
        <v>656</v>
      </c>
      <c r="N150" t="s">
        <v>90</v>
      </c>
      <c r="P150" t="s">
        <v>39</v>
      </c>
      <c r="Q150" t="s">
        <v>439</v>
      </c>
      <c r="R150" t="s">
        <v>400</v>
      </c>
      <c r="S150" s="7" t="s">
        <v>401</v>
      </c>
      <c r="T150" t="s">
        <v>459</v>
      </c>
    </row>
    <row r="151" spans="1:21" x14ac:dyDescent="0.3">
      <c r="A151" t="s">
        <v>460</v>
      </c>
      <c r="B151">
        <v>1730</v>
      </c>
      <c r="C151">
        <v>90</v>
      </c>
      <c r="H151">
        <v>34.67</v>
      </c>
      <c r="I151">
        <v>-14.58</v>
      </c>
      <c r="K151" t="s">
        <v>38</v>
      </c>
      <c r="M151" t="s">
        <v>458</v>
      </c>
      <c r="N151" t="s">
        <v>90</v>
      </c>
      <c r="P151" t="s">
        <v>39</v>
      </c>
      <c r="Q151" t="s">
        <v>439</v>
      </c>
      <c r="R151" t="s">
        <v>462</v>
      </c>
      <c r="S151" s="7" t="s">
        <v>463</v>
      </c>
      <c r="T151" t="s">
        <v>461</v>
      </c>
    </row>
    <row r="152" spans="1:21" x14ac:dyDescent="0.3">
      <c r="A152" t="s">
        <v>494</v>
      </c>
      <c r="B152">
        <v>1570</v>
      </c>
      <c r="C152">
        <v>140</v>
      </c>
      <c r="H152" s="14">
        <v>27.64</v>
      </c>
      <c r="I152" s="14">
        <v>-22.59</v>
      </c>
      <c r="K152" t="s">
        <v>440</v>
      </c>
      <c r="M152" t="s">
        <v>491</v>
      </c>
      <c r="N152" t="s">
        <v>496</v>
      </c>
      <c r="P152" t="s">
        <v>39</v>
      </c>
      <c r="Q152" t="s">
        <v>439</v>
      </c>
      <c r="R152" t="s">
        <v>492</v>
      </c>
      <c r="S152" s="7" t="s">
        <v>493</v>
      </c>
      <c r="T152" t="s">
        <v>495</v>
      </c>
    </row>
    <row r="153" spans="1:21" x14ac:dyDescent="0.3">
      <c r="A153" t="s">
        <v>497</v>
      </c>
      <c r="B153">
        <v>175</v>
      </c>
      <c r="C153">
        <v>40</v>
      </c>
      <c r="D153" t="s">
        <v>25</v>
      </c>
      <c r="H153" s="13">
        <v>19.529299999999999</v>
      </c>
      <c r="I153">
        <v>-17.872599999999998</v>
      </c>
      <c r="K153" t="s">
        <v>498</v>
      </c>
      <c r="M153" t="s">
        <v>528</v>
      </c>
      <c r="N153" t="s">
        <v>98</v>
      </c>
      <c r="P153" t="s">
        <v>39</v>
      </c>
      <c r="Q153" t="s">
        <v>439</v>
      </c>
      <c r="R153" t="s">
        <v>510</v>
      </c>
      <c r="S153" s="7" t="s">
        <v>522</v>
      </c>
      <c r="T153" t="s">
        <v>529</v>
      </c>
    </row>
    <row r="154" spans="1:21" x14ac:dyDescent="0.3">
      <c r="A154" t="s">
        <v>499</v>
      </c>
      <c r="B154">
        <v>355</v>
      </c>
      <c r="C154">
        <v>30</v>
      </c>
      <c r="D154" t="s">
        <v>25</v>
      </c>
      <c r="H154" s="13">
        <v>19.529299999999999</v>
      </c>
      <c r="I154">
        <v>-17.872599999999998</v>
      </c>
      <c r="K154" t="s">
        <v>498</v>
      </c>
      <c r="M154" t="s">
        <v>528</v>
      </c>
      <c r="N154" t="s">
        <v>98</v>
      </c>
      <c r="P154" t="s">
        <v>39</v>
      </c>
      <c r="Q154" t="s">
        <v>439</v>
      </c>
      <c r="R154" t="s">
        <v>511</v>
      </c>
      <c r="S154" s="2" t="s">
        <v>522</v>
      </c>
      <c r="T154" t="s">
        <v>530</v>
      </c>
    </row>
    <row r="155" spans="1:21" x14ac:dyDescent="0.3">
      <c r="A155" t="s">
        <v>500</v>
      </c>
      <c r="B155">
        <v>410</v>
      </c>
      <c r="C155">
        <v>30</v>
      </c>
      <c r="D155" t="s">
        <v>25</v>
      </c>
      <c r="H155" s="13">
        <v>19.529299999999999</v>
      </c>
      <c r="I155">
        <v>-17.872599999999998</v>
      </c>
      <c r="K155" t="s">
        <v>498</v>
      </c>
      <c r="M155" t="s">
        <v>528</v>
      </c>
      <c r="N155" t="s">
        <v>98</v>
      </c>
      <c r="P155" t="s">
        <v>39</v>
      </c>
      <c r="Q155" t="s">
        <v>439</v>
      </c>
      <c r="R155" t="s">
        <v>512</v>
      </c>
      <c r="S155" s="7" t="s">
        <v>522</v>
      </c>
      <c r="T155" t="s">
        <v>531</v>
      </c>
    </row>
    <row r="156" spans="1:21" x14ac:dyDescent="0.3">
      <c r="A156" s="15" t="s">
        <v>501</v>
      </c>
      <c r="B156">
        <v>1090</v>
      </c>
      <c r="C156">
        <v>35</v>
      </c>
      <c r="D156" t="s">
        <v>25</v>
      </c>
      <c r="H156" s="13">
        <v>19.529299999999999</v>
      </c>
      <c r="I156">
        <v>-17.872599999999998</v>
      </c>
      <c r="K156" t="s">
        <v>440</v>
      </c>
      <c r="M156" t="s">
        <v>528</v>
      </c>
      <c r="N156" t="s">
        <v>98</v>
      </c>
      <c r="P156" t="s">
        <v>39</v>
      </c>
      <c r="Q156" t="s">
        <v>439</v>
      </c>
      <c r="R156" t="s">
        <v>513</v>
      </c>
      <c r="S156" s="7" t="s">
        <v>522</v>
      </c>
      <c r="T156" t="s">
        <v>532</v>
      </c>
    </row>
    <row r="157" spans="1:21" x14ac:dyDescent="0.3">
      <c r="A157" t="s">
        <v>502</v>
      </c>
      <c r="B157">
        <v>1360</v>
      </c>
      <c r="C157">
        <v>30</v>
      </c>
      <c r="D157" t="s">
        <v>25</v>
      </c>
      <c r="H157" s="13">
        <v>19.529299999999999</v>
      </c>
      <c r="I157">
        <v>-17.872599999999998</v>
      </c>
      <c r="K157" t="s">
        <v>440</v>
      </c>
      <c r="M157" t="s">
        <v>528</v>
      </c>
      <c r="N157" t="s">
        <v>98</v>
      </c>
      <c r="P157" t="s">
        <v>39</v>
      </c>
      <c r="Q157" t="s">
        <v>439</v>
      </c>
      <c r="R157" t="s">
        <v>514</v>
      </c>
      <c r="S157" s="2" t="s">
        <v>522</v>
      </c>
      <c r="T157" t="s">
        <v>533</v>
      </c>
    </row>
    <row r="158" spans="1:21" x14ac:dyDescent="0.3">
      <c r="A158" t="s">
        <v>503</v>
      </c>
      <c r="B158">
        <v>1390</v>
      </c>
      <c r="C158">
        <v>30</v>
      </c>
      <c r="D158" t="s">
        <v>25</v>
      </c>
      <c r="H158" s="13">
        <v>19.529299999999999</v>
      </c>
      <c r="I158">
        <v>-17.872599999999998</v>
      </c>
      <c r="K158" t="s">
        <v>440</v>
      </c>
      <c r="M158" t="s">
        <v>528</v>
      </c>
      <c r="N158" t="s">
        <v>98</v>
      </c>
      <c r="P158" t="s">
        <v>39</v>
      </c>
      <c r="Q158" t="s">
        <v>439</v>
      </c>
      <c r="R158" t="s">
        <v>515</v>
      </c>
      <c r="S158" s="2" t="s">
        <v>522</v>
      </c>
      <c r="T158" t="s">
        <v>534</v>
      </c>
    </row>
    <row r="159" spans="1:21" x14ac:dyDescent="0.3">
      <c r="A159" t="s">
        <v>504</v>
      </c>
      <c r="B159">
        <v>1565</v>
      </c>
      <c r="C159">
        <v>20</v>
      </c>
      <c r="D159" t="s">
        <v>25</v>
      </c>
      <c r="H159" s="13">
        <v>19.529299999999999</v>
      </c>
      <c r="I159">
        <v>-17.872599999999998</v>
      </c>
      <c r="K159" t="s">
        <v>440</v>
      </c>
      <c r="M159" t="s">
        <v>528</v>
      </c>
      <c r="N159" t="s">
        <v>98</v>
      </c>
      <c r="P159" t="s">
        <v>39</v>
      </c>
      <c r="Q159" t="s">
        <v>439</v>
      </c>
      <c r="R159" t="s">
        <v>516</v>
      </c>
      <c r="S159" s="2" t="s">
        <v>522</v>
      </c>
      <c r="T159" t="s">
        <v>535</v>
      </c>
    </row>
    <row r="160" spans="1:21" x14ac:dyDescent="0.3">
      <c r="A160" t="s">
        <v>505</v>
      </c>
      <c r="B160">
        <v>1570</v>
      </c>
      <c r="C160">
        <v>30</v>
      </c>
      <c r="D160" t="s">
        <v>25</v>
      </c>
      <c r="H160" s="13">
        <v>19.529299999999999</v>
      </c>
      <c r="I160">
        <v>-17.872599999999998</v>
      </c>
      <c r="K160" t="s">
        <v>440</v>
      </c>
      <c r="M160" t="s">
        <v>528</v>
      </c>
      <c r="N160" t="s">
        <v>98</v>
      </c>
      <c r="P160" t="s">
        <v>39</v>
      </c>
      <c r="Q160" t="s">
        <v>439</v>
      </c>
      <c r="R160" t="s">
        <v>517</v>
      </c>
      <c r="S160" s="2" t="s">
        <v>522</v>
      </c>
      <c r="T160" t="s">
        <v>536</v>
      </c>
    </row>
    <row r="161" spans="1:20" x14ac:dyDescent="0.3">
      <c r="A161" t="s">
        <v>506</v>
      </c>
      <c r="B161">
        <v>1602</v>
      </c>
      <c r="C161">
        <v>23</v>
      </c>
      <c r="D161" t="s">
        <v>25</v>
      </c>
      <c r="H161" s="13">
        <v>19.529299999999999</v>
      </c>
      <c r="I161">
        <v>-17.872599999999998</v>
      </c>
      <c r="K161" t="s">
        <v>440</v>
      </c>
      <c r="M161" t="s">
        <v>528</v>
      </c>
      <c r="N161" t="s">
        <v>98</v>
      </c>
      <c r="P161" t="s">
        <v>39</v>
      </c>
      <c r="Q161" t="s">
        <v>439</v>
      </c>
      <c r="R161" t="s">
        <v>518</v>
      </c>
      <c r="S161" s="2" t="s">
        <v>522</v>
      </c>
      <c r="T161" t="s">
        <v>541</v>
      </c>
    </row>
    <row r="162" spans="1:20" x14ac:dyDescent="0.3">
      <c r="A162" t="s">
        <v>507</v>
      </c>
      <c r="B162">
        <v>1615</v>
      </c>
      <c r="C162">
        <v>30</v>
      </c>
      <c r="D162" t="s">
        <v>25</v>
      </c>
      <c r="H162" s="13">
        <v>19.529299999999999</v>
      </c>
      <c r="I162">
        <v>-17.872599999999998</v>
      </c>
      <c r="K162" t="s">
        <v>440</v>
      </c>
      <c r="M162" t="s">
        <v>528</v>
      </c>
      <c r="N162" t="s">
        <v>98</v>
      </c>
      <c r="P162" t="s">
        <v>39</v>
      </c>
      <c r="Q162" t="s">
        <v>439</v>
      </c>
      <c r="R162" t="s">
        <v>519</v>
      </c>
      <c r="S162" s="2" t="s">
        <v>522</v>
      </c>
      <c r="T162" t="s">
        <v>540</v>
      </c>
    </row>
    <row r="163" spans="1:20" x14ac:dyDescent="0.3">
      <c r="A163" t="s">
        <v>508</v>
      </c>
      <c r="B163">
        <v>1670</v>
      </c>
      <c r="C163">
        <v>30</v>
      </c>
      <c r="D163" t="s">
        <v>25</v>
      </c>
      <c r="H163" s="13">
        <v>19.529299999999999</v>
      </c>
      <c r="I163">
        <v>-17.872599999999998</v>
      </c>
      <c r="K163" t="s">
        <v>440</v>
      </c>
      <c r="M163" t="s">
        <v>528</v>
      </c>
      <c r="N163" t="s">
        <v>98</v>
      </c>
      <c r="P163" t="s">
        <v>39</v>
      </c>
      <c r="Q163" t="s">
        <v>439</v>
      </c>
      <c r="R163" t="s">
        <v>520</v>
      </c>
      <c r="S163" s="2" t="s">
        <v>522</v>
      </c>
      <c r="T163" t="s">
        <v>539</v>
      </c>
    </row>
    <row r="164" spans="1:20" x14ac:dyDescent="0.3">
      <c r="A164" t="s">
        <v>509</v>
      </c>
      <c r="B164">
        <v>1740</v>
      </c>
      <c r="C164">
        <v>40</v>
      </c>
      <c r="D164" t="s">
        <v>25</v>
      </c>
      <c r="H164" s="13">
        <v>19.529299999999999</v>
      </c>
      <c r="I164">
        <v>-17.872599999999998</v>
      </c>
      <c r="K164" t="s">
        <v>440</v>
      </c>
      <c r="M164" t="s">
        <v>528</v>
      </c>
      <c r="N164" t="s">
        <v>98</v>
      </c>
      <c r="P164" t="s">
        <v>39</v>
      </c>
      <c r="Q164" t="s">
        <v>439</v>
      </c>
      <c r="R164" t="s">
        <v>521</v>
      </c>
      <c r="S164" s="2" t="s">
        <v>522</v>
      </c>
      <c r="T164" t="s">
        <v>538</v>
      </c>
    </row>
    <row r="165" spans="1:20" x14ac:dyDescent="0.3">
      <c r="A165" t="s">
        <v>523</v>
      </c>
      <c r="B165">
        <v>1580</v>
      </c>
      <c r="C165">
        <v>38</v>
      </c>
      <c r="D165" t="s">
        <v>25</v>
      </c>
      <c r="H165" s="13">
        <v>19.529299999999999</v>
      </c>
      <c r="I165">
        <v>-17.872599999999998</v>
      </c>
      <c r="K165" t="s">
        <v>440</v>
      </c>
      <c r="M165" t="s">
        <v>528</v>
      </c>
      <c r="N165" t="s">
        <v>98</v>
      </c>
      <c r="P165" t="s">
        <v>39</v>
      </c>
      <c r="Q165" t="s">
        <v>439</v>
      </c>
      <c r="R165" t="s">
        <v>521</v>
      </c>
      <c r="S165" s="2" t="s">
        <v>522</v>
      </c>
      <c r="T165" t="s">
        <v>537</v>
      </c>
    </row>
    <row r="166" spans="1:20" x14ac:dyDescent="0.3">
      <c r="A166" t="s">
        <v>524</v>
      </c>
      <c r="B166">
        <v>1550</v>
      </c>
      <c r="C166">
        <v>30</v>
      </c>
      <c r="D166" t="s">
        <v>25</v>
      </c>
      <c r="H166" s="13">
        <v>19.567299999999999</v>
      </c>
      <c r="I166">
        <v>-17.875399999999999</v>
      </c>
      <c r="K166" t="s">
        <v>440</v>
      </c>
      <c r="M166" t="s">
        <v>106</v>
      </c>
      <c r="N166" t="s">
        <v>98</v>
      </c>
      <c r="P166" t="s">
        <v>39</v>
      </c>
      <c r="Q166" t="s">
        <v>49</v>
      </c>
      <c r="R166" t="s">
        <v>521</v>
      </c>
      <c r="S166" s="2" t="s">
        <v>522</v>
      </c>
      <c r="T166" t="s">
        <v>544</v>
      </c>
    </row>
    <row r="167" spans="1:20" x14ac:dyDescent="0.3">
      <c r="A167" t="s">
        <v>525</v>
      </c>
      <c r="B167">
        <v>1535</v>
      </c>
      <c r="C167">
        <v>30</v>
      </c>
      <c r="D167" t="s">
        <v>25</v>
      </c>
      <c r="H167" s="13">
        <v>19.567299999999999</v>
      </c>
      <c r="I167">
        <v>-17.875399999999999</v>
      </c>
      <c r="K167" t="s">
        <v>440</v>
      </c>
      <c r="M167" t="s">
        <v>106</v>
      </c>
      <c r="N167" t="s">
        <v>98</v>
      </c>
      <c r="P167" t="s">
        <v>39</v>
      </c>
      <c r="Q167" t="s">
        <v>49</v>
      </c>
      <c r="R167" t="s">
        <v>521</v>
      </c>
      <c r="S167" s="2" t="s">
        <v>522</v>
      </c>
      <c r="T167" t="s">
        <v>543</v>
      </c>
    </row>
    <row r="168" spans="1:20" x14ac:dyDescent="0.3">
      <c r="A168" t="s">
        <v>526</v>
      </c>
      <c r="B168">
        <v>1480</v>
      </c>
      <c r="C168">
        <v>30</v>
      </c>
      <c r="D168" t="s">
        <v>545</v>
      </c>
      <c r="H168" s="13">
        <v>19.567299999999999</v>
      </c>
      <c r="I168">
        <v>-17.875399999999999</v>
      </c>
      <c r="K168" t="s">
        <v>440</v>
      </c>
      <c r="M168" t="s">
        <v>106</v>
      </c>
      <c r="N168" t="s">
        <v>98</v>
      </c>
      <c r="P168" t="s">
        <v>39</v>
      </c>
      <c r="Q168" t="s">
        <v>49</v>
      </c>
      <c r="R168" t="s">
        <v>521</v>
      </c>
      <c r="S168" s="2" t="s">
        <v>522</v>
      </c>
      <c r="T168" t="s">
        <v>542</v>
      </c>
    </row>
    <row r="169" spans="1:20" x14ac:dyDescent="0.3">
      <c r="A169" t="s">
        <v>527</v>
      </c>
      <c r="B169">
        <v>1545</v>
      </c>
      <c r="C169">
        <v>30</v>
      </c>
      <c r="D169" t="s">
        <v>25</v>
      </c>
      <c r="H169" s="13">
        <v>19.567299999999999</v>
      </c>
      <c r="I169">
        <v>-17.875399999999999</v>
      </c>
      <c r="K169" t="s">
        <v>440</v>
      </c>
      <c r="M169" t="s">
        <v>106</v>
      </c>
      <c r="N169" t="s">
        <v>98</v>
      </c>
      <c r="P169" t="s">
        <v>39</v>
      </c>
      <c r="Q169" t="s">
        <v>49</v>
      </c>
      <c r="R169" t="s">
        <v>521</v>
      </c>
      <c r="S169" s="2" t="s">
        <v>522</v>
      </c>
      <c r="T169" t="s">
        <v>543</v>
      </c>
    </row>
    <row r="170" spans="1:20" x14ac:dyDescent="0.3">
      <c r="A170" t="s">
        <v>548</v>
      </c>
      <c r="B170">
        <v>270</v>
      </c>
      <c r="C170">
        <v>30</v>
      </c>
      <c r="D170" t="s">
        <v>25</v>
      </c>
      <c r="H170" s="13">
        <v>19.856400000000001</v>
      </c>
      <c r="I170">
        <v>-17.883800000000001</v>
      </c>
      <c r="K170" t="s">
        <v>498</v>
      </c>
      <c r="M170" t="s">
        <v>105</v>
      </c>
      <c r="N170" t="s">
        <v>98</v>
      </c>
      <c r="P170" t="s">
        <v>39</v>
      </c>
      <c r="Q170" t="s">
        <v>49</v>
      </c>
      <c r="R170" t="s">
        <v>521</v>
      </c>
      <c r="S170" s="2" t="s">
        <v>522</v>
      </c>
      <c r="T170" t="s">
        <v>551</v>
      </c>
    </row>
    <row r="171" spans="1:20" x14ac:dyDescent="0.3">
      <c r="A171" t="s">
        <v>549</v>
      </c>
      <c r="B171">
        <v>355</v>
      </c>
      <c r="C171">
        <v>30</v>
      </c>
      <c r="D171" t="s">
        <v>25</v>
      </c>
      <c r="H171" s="13">
        <v>19.856400000000001</v>
      </c>
      <c r="I171">
        <v>-17.883800000000001</v>
      </c>
      <c r="K171" t="s">
        <v>498</v>
      </c>
      <c r="M171" t="s">
        <v>105</v>
      </c>
      <c r="N171" t="s">
        <v>98</v>
      </c>
      <c r="P171" t="s">
        <v>39</v>
      </c>
      <c r="Q171" t="s">
        <v>49</v>
      </c>
      <c r="R171" t="s">
        <v>521</v>
      </c>
      <c r="S171" s="2" t="s">
        <v>522</v>
      </c>
      <c r="T171" t="s">
        <v>553</v>
      </c>
    </row>
    <row r="172" spans="1:20" x14ac:dyDescent="0.3">
      <c r="A172" t="s">
        <v>550</v>
      </c>
      <c r="B172">
        <v>400</v>
      </c>
      <c r="C172">
        <v>30</v>
      </c>
      <c r="D172" t="s">
        <v>25</v>
      </c>
      <c r="H172" s="13">
        <v>19.856400000000001</v>
      </c>
      <c r="I172">
        <v>-17.883800000000001</v>
      </c>
      <c r="K172" t="s">
        <v>498</v>
      </c>
      <c r="M172" t="s">
        <v>105</v>
      </c>
      <c r="N172" t="s">
        <v>98</v>
      </c>
      <c r="P172" t="s">
        <v>39</v>
      </c>
      <c r="Q172" t="s">
        <v>49</v>
      </c>
      <c r="R172" t="s">
        <v>521</v>
      </c>
      <c r="S172" s="2" t="s">
        <v>522</v>
      </c>
      <c r="T172" t="s">
        <v>552</v>
      </c>
    </row>
    <row r="173" spans="1:20" x14ac:dyDescent="0.3">
      <c r="A173" t="s">
        <v>556</v>
      </c>
      <c r="B173">
        <v>356</v>
      </c>
      <c r="C173">
        <v>35</v>
      </c>
      <c r="D173" t="s">
        <v>25</v>
      </c>
      <c r="H173" s="13">
        <v>20.041599999999999</v>
      </c>
      <c r="I173">
        <v>-17.901299999999999</v>
      </c>
      <c r="K173" t="s">
        <v>498</v>
      </c>
      <c r="M173" t="s">
        <v>554</v>
      </c>
      <c r="N173" t="s">
        <v>98</v>
      </c>
      <c r="P173" t="s">
        <v>39</v>
      </c>
      <c r="R173" t="s">
        <v>521</v>
      </c>
      <c r="S173" s="2" t="s">
        <v>522</v>
      </c>
      <c r="T173" t="s">
        <v>555</v>
      </c>
    </row>
    <row r="174" spans="1:20" x14ac:dyDescent="0.3">
      <c r="A174" t="s">
        <v>559</v>
      </c>
      <c r="B174">
        <v>220</v>
      </c>
      <c r="C174">
        <v>35</v>
      </c>
      <c r="D174" t="s">
        <v>25</v>
      </c>
      <c r="H174" s="13">
        <v>20.474299999999999</v>
      </c>
      <c r="I174">
        <v>-17.951699999999999</v>
      </c>
      <c r="K174" t="s">
        <v>498</v>
      </c>
      <c r="M174" t="s">
        <v>557</v>
      </c>
      <c r="N174" t="s">
        <v>98</v>
      </c>
      <c r="P174" t="s">
        <v>39</v>
      </c>
      <c r="R174" t="s">
        <v>521</v>
      </c>
      <c r="S174" s="2" t="s">
        <v>522</v>
      </c>
      <c r="T174" t="s">
        <v>558</v>
      </c>
    </row>
    <row r="175" spans="1:20" x14ac:dyDescent="0.3">
      <c r="A175" t="s">
        <v>569</v>
      </c>
      <c r="B175">
        <v>120</v>
      </c>
      <c r="C175">
        <v>35</v>
      </c>
      <c r="D175" t="s">
        <v>25</v>
      </c>
      <c r="H175" s="13">
        <v>20.474299999999999</v>
      </c>
      <c r="I175">
        <v>-17.951699999999999</v>
      </c>
      <c r="K175" t="s">
        <v>498</v>
      </c>
      <c r="M175" t="s">
        <v>557</v>
      </c>
      <c r="N175" t="s">
        <v>98</v>
      </c>
      <c r="P175" t="s">
        <v>39</v>
      </c>
      <c r="R175" t="s">
        <v>521</v>
      </c>
      <c r="S175" s="2" t="s">
        <v>522</v>
      </c>
      <c r="T175" t="s">
        <v>570</v>
      </c>
    </row>
    <row r="176" spans="1:20" x14ac:dyDescent="0.3">
      <c r="A176" t="s">
        <v>560</v>
      </c>
      <c r="B176">
        <v>235</v>
      </c>
      <c r="C176">
        <v>35</v>
      </c>
      <c r="D176" t="s">
        <v>25</v>
      </c>
      <c r="H176" s="13">
        <v>20.474299999999999</v>
      </c>
      <c r="I176">
        <v>-17.951699999999999</v>
      </c>
      <c r="K176" t="s">
        <v>498</v>
      </c>
      <c r="M176" t="s">
        <v>557</v>
      </c>
      <c r="N176" t="s">
        <v>98</v>
      </c>
      <c r="P176" t="s">
        <v>39</v>
      </c>
      <c r="R176" t="s">
        <v>521</v>
      </c>
      <c r="S176" s="2" t="s">
        <v>522</v>
      </c>
      <c r="T176" t="s">
        <v>561</v>
      </c>
    </row>
    <row r="177" spans="1:20" x14ac:dyDescent="0.3">
      <c r="A177" t="s">
        <v>562</v>
      </c>
      <c r="B177">
        <v>320</v>
      </c>
      <c r="C177">
        <v>30</v>
      </c>
      <c r="D177" t="s">
        <v>25</v>
      </c>
      <c r="H177">
        <v>21.322299999999998</v>
      </c>
      <c r="I177">
        <v>-18.137799999999999</v>
      </c>
      <c r="K177" t="s">
        <v>498</v>
      </c>
      <c r="M177" t="s">
        <v>99</v>
      </c>
      <c r="N177" t="s">
        <v>98</v>
      </c>
      <c r="P177" t="s">
        <v>39</v>
      </c>
      <c r="Q177" t="s">
        <v>49</v>
      </c>
      <c r="R177" t="s">
        <v>521</v>
      </c>
      <c r="S177" s="2" t="s">
        <v>522</v>
      </c>
      <c r="T177" t="s">
        <v>563</v>
      </c>
    </row>
    <row r="178" spans="1:20" x14ac:dyDescent="0.3">
      <c r="A178" t="s">
        <v>565</v>
      </c>
      <c r="B178">
        <v>110</v>
      </c>
      <c r="C178">
        <v>45</v>
      </c>
      <c r="D178" t="s">
        <v>25</v>
      </c>
      <c r="H178" s="13">
        <v>21.660499999999999</v>
      </c>
      <c r="I178">
        <v>-18.1403</v>
      </c>
      <c r="K178" t="s">
        <v>498</v>
      </c>
      <c r="M178" t="s">
        <v>564</v>
      </c>
      <c r="N178" t="s">
        <v>98</v>
      </c>
      <c r="P178" t="s">
        <v>39</v>
      </c>
      <c r="R178" t="s">
        <v>521</v>
      </c>
      <c r="S178" s="2" t="s">
        <v>522</v>
      </c>
      <c r="T178" t="s">
        <v>568</v>
      </c>
    </row>
    <row r="179" spans="1:20" x14ac:dyDescent="0.3">
      <c r="A179" t="s">
        <v>567</v>
      </c>
      <c r="B179">
        <v>40</v>
      </c>
      <c r="C179">
        <v>40</v>
      </c>
      <c r="D179" t="s">
        <v>566</v>
      </c>
      <c r="H179" s="13">
        <v>21.660499999999999</v>
      </c>
      <c r="I179">
        <v>-18.1403</v>
      </c>
      <c r="K179" t="s">
        <v>498</v>
      </c>
      <c r="M179" t="s">
        <v>564</v>
      </c>
      <c r="N179" t="s">
        <v>98</v>
      </c>
      <c r="P179" t="s">
        <v>39</v>
      </c>
      <c r="R179" t="s">
        <v>521</v>
      </c>
      <c r="S179" s="2" t="s">
        <v>522</v>
      </c>
      <c r="T179" t="s">
        <v>568</v>
      </c>
    </row>
    <row r="180" spans="1:20" x14ac:dyDescent="0.3">
      <c r="A180" t="s">
        <v>571</v>
      </c>
      <c r="B180">
        <v>280</v>
      </c>
      <c r="C180">
        <v>30</v>
      </c>
      <c r="D180" t="s">
        <v>25</v>
      </c>
      <c r="H180" s="13">
        <v>19.790700000000001</v>
      </c>
      <c r="I180">
        <v>-17.878050000000002</v>
      </c>
      <c r="K180" t="s">
        <v>38</v>
      </c>
      <c r="M180" t="s">
        <v>572</v>
      </c>
      <c r="N180" t="s">
        <v>98</v>
      </c>
      <c r="P180" t="s">
        <v>39</v>
      </c>
      <c r="R180" t="s">
        <v>521</v>
      </c>
      <c r="S180" s="2" t="s">
        <v>522</v>
      </c>
      <c r="T180" t="s">
        <v>573</v>
      </c>
    </row>
    <row r="181" spans="1:20" x14ac:dyDescent="0.3">
      <c r="A181" t="s">
        <v>597</v>
      </c>
      <c r="B181">
        <v>1590</v>
      </c>
      <c r="C181">
        <v>120</v>
      </c>
      <c r="D181" t="s">
        <v>25</v>
      </c>
      <c r="H181" s="13">
        <v>35.03</v>
      </c>
      <c r="I181">
        <v>-14.2</v>
      </c>
      <c r="K181" t="s">
        <v>440</v>
      </c>
      <c r="M181" t="s">
        <v>574</v>
      </c>
      <c r="N181" t="s">
        <v>90</v>
      </c>
      <c r="P181" t="s">
        <v>39</v>
      </c>
      <c r="Q181" t="s">
        <v>439</v>
      </c>
      <c r="R181" t="s">
        <v>575</v>
      </c>
      <c r="S181" s="7" t="s">
        <v>576</v>
      </c>
      <c r="T181" t="s">
        <v>577</v>
      </c>
    </row>
    <row r="182" spans="1:20" x14ac:dyDescent="0.3">
      <c r="A182" t="s">
        <v>598</v>
      </c>
      <c r="B182">
        <v>470</v>
      </c>
      <c r="C182">
        <v>95</v>
      </c>
      <c r="D182" t="s">
        <v>25</v>
      </c>
      <c r="H182" s="13">
        <v>35.08</v>
      </c>
      <c r="I182">
        <v>-14.25</v>
      </c>
      <c r="K182" t="s">
        <v>38</v>
      </c>
      <c r="M182" t="s">
        <v>578</v>
      </c>
      <c r="N182" t="s">
        <v>90</v>
      </c>
      <c r="P182" t="s">
        <v>39</v>
      </c>
      <c r="R182" t="s">
        <v>575</v>
      </c>
      <c r="S182" s="7" t="s">
        <v>576</v>
      </c>
      <c r="T182" t="s">
        <v>579</v>
      </c>
    </row>
    <row r="183" spans="1:20" x14ac:dyDescent="0.3">
      <c r="A183" t="s">
        <v>580</v>
      </c>
      <c r="B183">
        <v>1485</v>
      </c>
      <c r="C183">
        <v>170</v>
      </c>
      <c r="H183">
        <v>40.1556</v>
      </c>
      <c r="I183">
        <v>-13.725</v>
      </c>
      <c r="K183" t="s">
        <v>440</v>
      </c>
      <c r="M183" t="s">
        <v>442</v>
      </c>
      <c r="N183" t="s">
        <v>441</v>
      </c>
      <c r="P183" t="s">
        <v>39</v>
      </c>
      <c r="Q183" t="s">
        <v>439</v>
      </c>
      <c r="R183" t="s">
        <v>581</v>
      </c>
      <c r="S183" s="7" t="s">
        <v>582</v>
      </c>
    </row>
    <row r="184" spans="1:20" x14ac:dyDescent="0.3">
      <c r="A184" t="s">
        <v>585</v>
      </c>
      <c r="B184">
        <v>1555</v>
      </c>
      <c r="C184">
        <v>110</v>
      </c>
      <c r="H184" s="13">
        <v>34.982999999999997</v>
      </c>
      <c r="I184" s="13">
        <v>-14.17</v>
      </c>
      <c r="K184" t="s">
        <v>38</v>
      </c>
      <c r="M184" t="s">
        <v>586</v>
      </c>
      <c r="N184" t="s">
        <v>90</v>
      </c>
      <c r="P184" t="s">
        <v>39</v>
      </c>
      <c r="Q184" t="s">
        <v>439</v>
      </c>
      <c r="R184" t="s">
        <v>583</v>
      </c>
      <c r="S184" s="7" t="s">
        <v>584</v>
      </c>
    </row>
    <row r="185" spans="1:20" x14ac:dyDescent="0.3">
      <c r="A185" t="s">
        <v>587</v>
      </c>
      <c r="B185">
        <v>1300</v>
      </c>
      <c r="C185">
        <v>260</v>
      </c>
      <c r="H185" s="13">
        <v>34.982999999999997</v>
      </c>
      <c r="I185" s="13">
        <v>-14.17</v>
      </c>
      <c r="K185" t="s">
        <v>38</v>
      </c>
      <c r="M185" t="s">
        <v>586</v>
      </c>
      <c r="N185" t="s">
        <v>90</v>
      </c>
      <c r="P185" t="s">
        <v>39</v>
      </c>
      <c r="Q185" t="s">
        <v>439</v>
      </c>
      <c r="R185" t="s">
        <v>583</v>
      </c>
      <c r="S185" s="7" t="s">
        <v>584</v>
      </c>
    </row>
    <row r="186" spans="1:20" x14ac:dyDescent="0.3">
      <c r="A186" t="s">
        <v>588</v>
      </c>
      <c r="B186">
        <v>1075</v>
      </c>
      <c r="C186">
        <v>75</v>
      </c>
      <c r="H186" s="13">
        <v>34.982999999999997</v>
      </c>
      <c r="I186" s="13">
        <v>-14.17</v>
      </c>
      <c r="K186" t="s">
        <v>38</v>
      </c>
      <c r="M186" t="s">
        <v>586</v>
      </c>
      <c r="N186" t="s">
        <v>90</v>
      </c>
      <c r="P186" t="s">
        <v>39</v>
      </c>
      <c r="Q186" t="s">
        <v>439</v>
      </c>
      <c r="R186" t="s">
        <v>583</v>
      </c>
      <c r="S186" s="7" t="s">
        <v>584</v>
      </c>
    </row>
    <row r="187" spans="1:20" x14ac:dyDescent="0.3">
      <c r="A187" t="s">
        <v>592</v>
      </c>
      <c r="B187">
        <v>1440</v>
      </c>
      <c r="C187">
        <v>160</v>
      </c>
      <c r="H187" s="13">
        <v>28.777000000000001</v>
      </c>
      <c r="I187" s="13">
        <v>-13.194000000000001</v>
      </c>
      <c r="K187" t="s">
        <v>38</v>
      </c>
      <c r="M187" t="s">
        <v>591</v>
      </c>
      <c r="N187" t="s">
        <v>163</v>
      </c>
      <c r="P187" t="s">
        <v>39</v>
      </c>
      <c r="Q187" t="s">
        <v>439</v>
      </c>
      <c r="R187" t="s">
        <v>589</v>
      </c>
      <c r="S187" s="7" t="s">
        <v>590</v>
      </c>
    </row>
    <row r="188" spans="1:20" x14ac:dyDescent="0.3">
      <c r="A188" t="s">
        <v>593</v>
      </c>
      <c r="B188">
        <v>1150</v>
      </c>
      <c r="C188">
        <v>145</v>
      </c>
      <c r="H188" s="13">
        <v>28.777000000000001</v>
      </c>
      <c r="I188" s="13">
        <v>-13.194000000000001</v>
      </c>
      <c r="K188" t="s">
        <v>38</v>
      </c>
      <c r="M188" t="s">
        <v>591</v>
      </c>
      <c r="N188" t="s">
        <v>163</v>
      </c>
      <c r="P188" t="s">
        <v>39</v>
      </c>
      <c r="Q188" t="s">
        <v>439</v>
      </c>
      <c r="R188" t="s">
        <v>589</v>
      </c>
      <c r="S188" s="7" t="s">
        <v>590</v>
      </c>
    </row>
    <row r="189" spans="1:20" x14ac:dyDescent="0.3">
      <c r="A189" t="s">
        <v>594</v>
      </c>
      <c r="B189">
        <v>1135</v>
      </c>
      <c r="C189">
        <v>130</v>
      </c>
      <c r="H189" s="13">
        <v>28.777000000000001</v>
      </c>
      <c r="I189" s="13">
        <v>-13.194000000000001</v>
      </c>
      <c r="K189" t="s">
        <v>38</v>
      </c>
      <c r="M189" t="s">
        <v>591</v>
      </c>
      <c r="N189" t="s">
        <v>163</v>
      </c>
      <c r="P189" t="s">
        <v>39</v>
      </c>
      <c r="Q189" t="s">
        <v>439</v>
      </c>
      <c r="R189" t="s">
        <v>589</v>
      </c>
      <c r="S189" s="7" t="s">
        <v>590</v>
      </c>
    </row>
    <row r="190" spans="1:20" x14ac:dyDescent="0.3">
      <c r="A190" t="s">
        <v>595</v>
      </c>
      <c r="B190">
        <v>1060</v>
      </c>
      <c r="C190">
        <v>95</v>
      </c>
      <c r="H190" s="13">
        <v>28.777000000000001</v>
      </c>
      <c r="I190" s="13">
        <v>-13.194000000000001</v>
      </c>
      <c r="K190" t="s">
        <v>38</v>
      </c>
      <c r="M190" t="s">
        <v>591</v>
      </c>
      <c r="N190" t="s">
        <v>163</v>
      </c>
      <c r="P190" t="s">
        <v>39</v>
      </c>
      <c r="Q190" t="s">
        <v>439</v>
      </c>
      <c r="R190" t="s">
        <v>589</v>
      </c>
      <c r="S190" s="7" t="s">
        <v>590</v>
      </c>
    </row>
    <row r="191" spans="1:20" x14ac:dyDescent="0.3">
      <c r="A191" t="s">
        <v>599</v>
      </c>
      <c r="B191">
        <v>1350</v>
      </c>
      <c r="C191">
        <v>100</v>
      </c>
      <c r="H191" s="13">
        <v>25.849</v>
      </c>
      <c r="I191" s="13">
        <v>-17.756</v>
      </c>
      <c r="K191" t="s">
        <v>38</v>
      </c>
      <c r="M191" t="s">
        <v>596</v>
      </c>
      <c r="N191" t="s">
        <v>163</v>
      </c>
      <c r="P191" t="s">
        <v>39</v>
      </c>
      <c r="Q191" t="s">
        <v>439</v>
      </c>
      <c r="R191" t="s">
        <v>606</v>
      </c>
      <c r="S191" t="s">
        <v>607</v>
      </c>
      <c r="T191" t="s">
        <v>605</v>
      </c>
    </row>
    <row r="192" spans="1:20" x14ac:dyDescent="0.3">
      <c r="A192" t="s">
        <v>600</v>
      </c>
      <c r="B192">
        <v>1330</v>
      </c>
      <c r="C192">
        <v>110</v>
      </c>
      <c r="H192" s="13">
        <v>25.849</v>
      </c>
      <c r="I192" s="13">
        <v>-17.756</v>
      </c>
      <c r="K192" t="s">
        <v>38</v>
      </c>
      <c r="M192" t="s">
        <v>596</v>
      </c>
      <c r="N192" t="s">
        <v>163</v>
      </c>
      <c r="P192" t="s">
        <v>39</v>
      </c>
      <c r="Q192" t="s">
        <v>439</v>
      </c>
      <c r="R192" t="s">
        <v>606</v>
      </c>
      <c r="S192" t="s">
        <v>607</v>
      </c>
      <c r="T192" t="s">
        <v>605</v>
      </c>
    </row>
    <row r="193" spans="1:20" x14ac:dyDescent="0.3">
      <c r="A193" t="s">
        <v>601</v>
      </c>
      <c r="B193">
        <v>1200</v>
      </c>
      <c r="C193">
        <v>95</v>
      </c>
      <c r="H193" s="13">
        <v>25.849</v>
      </c>
      <c r="I193" s="13">
        <v>-17.756</v>
      </c>
      <c r="K193" t="s">
        <v>38</v>
      </c>
      <c r="M193" t="s">
        <v>596</v>
      </c>
      <c r="N193" t="s">
        <v>163</v>
      </c>
      <c r="P193" t="s">
        <v>39</v>
      </c>
      <c r="Q193" t="s">
        <v>439</v>
      </c>
      <c r="R193" t="s">
        <v>606</v>
      </c>
      <c r="S193" t="s">
        <v>607</v>
      </c>
      <c r="T193" t="s">
        <v>605</v>
      </c>
    </row>
    <row r="194" spans="1:20" x14ac:dyDescent="0.3">
      <c r="A194" t="s">
        <v>602</v>
      </c>
      <c r="B194">
        <v>1170</v>
      </c>
      <c r="C194">
        <v>90</v>
      </c>
      <c r="H194" s="13">
        <v>25.849</v>
      </c>
      <c r="I194" s="13">
        <v>-17.756</v>
      </c>
      <c r="K194" t="s">
        <v>38</v>
      </c>
      <c r="M194" t="s">
        <v>596</v>
      </c>
      <c r="N194" t="s">
        <v>163</v>
      </c>
      <c r="P194" t="s">
        <v>39</v>
      </c>
      <c r="Q194" t="s">
        <v>439</v>
      </c>
      <c r="R194" t="s">
        <v>606</v>
      </c>
      <c r="S194" t="s">
        <v>607</v>
      </c>
      <c r="T194" t="s">
        <v>605</v>
      </c>
    </row>
    <row r="195" spans="1:20" x14ac:dyDescent="0.3">
      <c r="A195" t="s">
        <v>603</v>
      </c>
      <c r="B195">
        <v>1090</v>
      </c>
      <c r="C195">
        <v>95</v>
      </c>
      <c r="H195" s="13">
        <v>25.849</v>
      </c>
      <c r="I195" s="13">
        <v>-17.756</v>
      </c>
      <c r="K195" t="s">
        <v>38</v>
      </c>
      <c r="M195" t="s">
        <v>596</v>
      </c>
      <c r="N195" t="s">
        <v>163</v>
      </c>
      <c r="P195" t="s">
        <v>39</v>
      </c>
      <c r="Q195" t="s">
        <v>439</v>
      </c>
      <c r="R195" t="s">
        <v>606</v>
      </c>
      <c r="S195" t="s">
        <v>607</v>
      </c>
      <c r="T195" t="s">
        <v>605</v>
      </c>
    </row>
    <row r="196" spans="1:20" x14ac:dyDescent="0.3">
      <c r="A196" t="s">
        <v>604</v>
      </c>
      <c r="B196">
        <v>1290</v>
      </c>
      <c r="C196">
        <v>120</v>
      </c>
      <c r="H196" s="13">
        <v>25.849</v>
      </c>
      <c r="I196" s="13">
        <v>-17.756</v>
      </c>
      <c r="K196" t="s">
        <v>38</v>
      </c>
      <c r="M196" t="s">
        <v>596</v>
      </c>
      <c r="N196" t="s">
        <v>163</v>
      </c>
      <c r="P196" t="s">
        <v>39</v>
      </c>
      <c r="Q196" t="s">
        <v>439</v>
      </c>
      <c r="R196" t="s">
        <v>606</v>
      </c>
      <c r="S196" t="s">
        <v>607</v>
      </c>
      <c r="T196" t="s">
        <v>605</v>
      </c>
    </row>
    <row r="197" spans="1:20" x14ac:dyDescent="0.3">
      <c r="A197" t="s">
        <v>609</v>
      </c>
      <c r="B197">
        <v>1120</v>
      </c>
      <c r="C197">
        <v>200</v>
      </c>
      <c r="H197" s="13">
        <v>28.8</v>
      </c>
      <c r="I197" s="13">
        <v>-16.2</v>
      </c>
      <c r="K197" t="s">
        <v>38</v>
      </c>
      <c r="M197" t="s">
        <v>608</v>
      </c>
      <c r="N197" t="s">
        <v>163</v>
      </c>
      <c r="P197" t="s">
        <v>39</v>
      </c>
      <c r="Q197" t="s">
        <v>439</v>
      </c>
      <c r="R197" t="s">
        <v>606</v>
      </c>
      <c r="S197" t="s">
        <v>607</v>
      </c>
    </row>
    <row r="198" spans="1:20" x14ac:dyDescent="0.3">
      <c r="A198" t="s">
        <v>610</v>
      </c>
      <c r="B198">
        <v>1150</v>
      </c>
      <c r="C198">
        <v>100</v>
      </c>
      <c r="H198" s="13">
        <v>28.8</v>
      </c>
      <c r="I198" s="13">
        <v>-16.2</v>
      </c>
      <c r="K198" t="s">
        <v>38</v>
      </c>
      <c r="M198" t="s">
        <v>608</v>
      </c>
      <c r="N198" t="s">
        <v>163</v>
      </c>
      <c r="P198" t="s">
        <v>39</v>
      </c>
      <c r="Q198" t="s">
        <v>439</v>
      </c>
      <c r="R198" t="s">
        <v>606</v>
      </c>
      <c r="S198" t="s">
        <v>607</v>
      </c>
    </row>
    <row r="199" spans="1:20" x14ac:dyDescent="0.3">
      <c r="A199" t="s">
        <v>611</v>
      </c>
      <c r="B199">
        <v>965</v>
      </c>
      <c r="C199">
        <v>100</v>
      </c>
      <c r="H199" s="13">
        <v>28.8</v>
      </c>
      <c r="I199" s="13">
        <v>-16.2</v>
      </c>
      <c r="K199" t="s">
        <v>38</v>
      </c>
      <c r="M199" t="s">
        <v>608</v>
      </c>
      <c r="N199" t="s">
        <v>163</v>
      </c>
      <c r="P199" t="s">
        <v>39</v>
      </c>
      <c r="Q199" t="s">
        <v>439</v>
      </c>
      <c r="R199" t="s">
        <v>606</v>
      </c>
      <c r="S199" t="s">
        <v>607</v>
      </c>
    </row>
    <row r="200" spans="1:20" x14ac:dyDescent="0.3">
      <c r="A200" t="s">
        <v>612</v>
      </c>
      <c r="B200">
        <v>1270</v>
      </c>
      <c r="C200">
        <v>40</v>
      </c>
      <c r="H200" s="13">
        <v>28.8</v>
      </c>
      <c r="I200" s="13">
        <v>-16.2</v>
      </c>
      <c r="K200" t="s">
        <v>38</v>
      </c>
      <c r="M200" t="s">
        <v>608</v>
      </c>
      <c r="N200" t="s">
        <v>163</v>
      </c>
      <c r="P200" t="s">
        <v>39</v>
      </c>
      <c r="Q200" t="s">
        <v>439</v>
      </c>
      <c r="R200" t="s">
        <v>606</v>
      </c>
      <c r="S200" t="s">
        <v>607</v>
      </c>
    </row>
    <row r="201" spans="1:20" x14ac:dyDescent="0.3">
      <c r="A201" t="s">
        <v>617</v>
      </c>
      <c r="B201">
        <v>1650</v>
      </c>
      <c r="C201">
        <v>90</v>
      </c>
      <c r="D201" t="s">
        <v>25</v>
      </c>
      <c r="H201" s="13">
        <v>26.5</v>
      </c>
      <c r="I201" s="13">
        <v>-17.05</v>
      </c>
      <c r="K201" t="s">
        <v>38</v>
      </c>
      <c r="M201" t="s">
        <v>613</v>
      </c>
      <c r="N201" t="s">
        <v>163</v>
      </c>
      <c r="P201" t="s">
        <v>39</v>
      </c>
      <c r="R201" t="s">
        <v>614</v>
      </c>
      <c r="S201" t="s">
        <v>607</v>
      </c>
      <c r="T201" t="s">
        <v>630</v>
      </c>
    </row>
    <row r="202" spans="1:20" x14ac:dyDescent="0.3">
      <c r="A202" t="s">
        <v>616</v>
      </c>
      <c r="B202">
        <v>1050</v>
      </c>
      <c r="C202">
        <v>100</v>
      </c>
      <c r="D202" t="s">
        <v>25</v>
      </c>
      <c r="H202" s="13">
        <v>26.5</v>
      </c>
      <c r="I202" s="13">
        <v>-17.05</v>
      </c>
      <c r="K202" t="s">
        <v>38</v>
      </c>
      <c r="M202" t="s">
        <v>613</v>
      </c>
      <c r="N202" t="s">
        <v>163</v>
      </c>
      <c r="P202" t="s">
        <v>39</v>
      </c>
      <c r="R202" t="s">
        <v>614</v>
      </c>
      <c r="S202" t="s">
        <v>607</v>
      </c>
    </row>
    <row r="203" spans="1:20" x14ac:dyDescent="0.3">
      <c r="A203" t="s">
        <v>615</v>
      </c>
      <c r="B203">
        <v>870</v>
      </c>
      <c r="C203">
        <v>90</v>
      </c>
      <c r="D203" t="s">
        <v>25</v>
      </c>
      <c r="H203" s="13">
        <v>26.5</v>
      </c>
      <c r="I203" s="13">
        <v>-17.05</v>
      </c>
      <c r="K203" t="s">
        <v>38</v>
      </c>
      <c r="M203" t="s">
        <v>613</v>
      </c>
      <c r="N203" t="s">
        <v>163</v>
      </c>
      <c r="P203" t="s">
        <v>39</v>
      </c>
      <c r="R203" t="s">
        <v>614</v>
      </c>
      <c r="S203" t="s">
        <v>607</v>
      </c>
    </row>
    <row r="204" spans="1:20" x14ac:dyDescent="0.3">
      <c r="A204" t="s">
        <v>618</v>
      </c>
      <c r="B204">
        <v>1160</v>
      </c>
      <c r="C204">
        <v>90</v>
      </c>
      <c r="D204" t="s">
        <v>25</v>
      </c>
      <c r="H204" s="13">
        <v>26.5</v>
      </c>
      <c r="I204" s="13">
        <v>-17.05</v>
      </c>
      <c r="K204" t="s">
        <v>38</v>
      </c>
      <c r="M204" t="s">
        <v>613</v>
      </c>
      <c r="N204" t="s">
        <v>163</v>
      </c>
      <c r="P204" t="s">
        <v>39</v>
      </c>
      <c r="R204" t="s">
        <v>614</v>
      </c>
      <c r="S204" t="s">
        <v>607</v>
      </c>
    </row>
    <row r="205" spans="1:20" x14ac:dyDescent="0.3">
      <c r="A205" t="s">
        <v>619</v>
      </c>
      <c r="B205">
        <v>1495</v>
      </c>
      <c r="C205">
        <v>95</v>
      </c>
      <c r="D205" t="s">
        <v>25</v>
      </c>
      <c r="H205" s="13">
        <v>26.5</v>
      </c>
      <c r="I205" s="13">
        <v>-17.05</v>
      </c>
      <c r="K205" t="s">
        <v>38</v>
      </c>
      <c r="M205" t="s">
        <v>613</v>
      </c>
      <c r="N205" t="s">
        <v>163</v>
      </c>
      <c r="P205" t="s">
        <v>39</v>
      </c>
      <c r="R205" t="s">
        <v>575</v>
      </c>
      <c r="S205" s="7" t="s">
        <v>576</v>
      </c>
    </row>
    <row r="206" spans="1:20" x14ac:dyDescent="0.3">
      <c r="A206" t="s">
        <v>620</v>
      </c>
      <c r="B206">
        <v>885</v>
      </c>
      <c r="C206">
        <v>120</v>
      </c>
      <c r="D206" t="s">
        <v>25</v>
      </c>
      <c r="H206" s="13">
        <v>26.5</v>
      </c>
      <c r="I206" s="13">
        <v>-17.05</v>
      </c>
      <c r="K206" t="s">
        <v>38</v>
      </c>
      <c r="M206" t="s">
        <v>613</v>
      </c>
      <c r="N206" t="s">
        <v>163</v>
      </c>
      <c r="P206" t="s">
        <v>39</v>
      </c>
      <c r="R206" t="s">
        <v>575</v>
      </c>
      <c r="S206" s="7" t="s">
        <v>576</v>
      </c>
    </row>
    <row r="207" spans="1:20" x14ac:dyDescent="0.3">
      <c r="A207" t="s">
        <v>621</v>
      </c>
      <c r="B207">
        <v>653</v>
      </c>
      <c r="C207">
        <v>17</v>
      </c>
      <c r="D207" t="s">
        <v>566</v>
      </c>
      <c r="H207" s="13">
        <v>26.5</v>
      </c>
      <c r="I207" s="13">
        <v>-17.05</v>
      </c>
      <c r="K207" t="s">
        <v>38</v>
      </c>
      <c r="M207" t="s">
        <v>613</v>
      </c>
      <c r="N207" t="s">
        <v>163</v>
      </c>
      <c r="P207" t="s">
        <v>39</v>
      </c>
      <c r="R207" t="s">
        <v>622</v>
      </c>
      <c r="S207" s="7" t="s">
        <v>623</v>
      </c>
    </row>
    <row r="208" spans="1:20" x14ac:dyDescent="0.3">
      <c r="A208" t="s">
        <v>624</v>
      </c>
      <c r="B208">
        <v>606</v>
      </c>
      <c r="C208">
        <v>15</v>
      </c>
      <c r="D208" t="s">
        <v>625</v>
      </c>
      <c r="H208" s="13">
        <v>26.5</v>
      </c>
      <c r="I208" s="13">
        <v>-17.05</v>
      </c>
      <c r="K208" t="s">
        <v>38</v>
      </c>
      <c r="M208" t="s">
        <v>613</v>
      </c>
      <c r="N208" t="s">
        <v>163</v>
      </c>
      <c r="P208" t="s">
        <v>39</v>
      </c>
      <c r="R208" t="s">
        <v>622</v>
      </c>
      <c r="S208" s="7" t="s">
        <v>623</v>
      </c>
    </row>
    <row r="209" spans="1:20" x14ac:dyDescent="0.3">
      <c r="A209" t="s">
        <v>626</v>
      </c>
      <c r="B209">
        <v>683</v>
      </c>
      <c r="C209">
        <v>15</v>
      </c>
      <c r="D209" t="s">
        <v>566</v>
      </c>
      <c r="H209" s="13">
        <v>26.5</v>
      </c>
      <c r="I209" s="13">
        <v>-17.05</v>
      </c>
      <c r="K209" t="s">
        <v>38</v>
      </c>
      <c r="M209" t="s">
        <v>613</v>
      </c>
      <c r="N209" t="s">
        <v>163</v>
      </c>
      <c r="P209" t="s">
        <v>39</v>
      </c>
      <c r="R209" t="s">
        <v>622</v>
      </c>
      <c r="S209" s="7" t="s">
        <v>623</v>
      </c>
    </row>
    <row r="210" spans="1:20" x14ac:dyDescent="0.3">
      <c r="A210" t="s">
        <v>627</v>
      </c>
      <c r="B210">
        <v>684</v>
      </c>
      <c r="C210">
        <v>16</v>
      </c>
      <c r="D210" t="s">
        <v>566</v>
      </c>
      <c r="H210" s="13">
        <v>26.5</v>
      </c>
      <c r="I210" s="13">
        <v>-17.05</v>
      </c>
      <c r="K210" t="s">
        <v>38</v>
      </c>
      <c r="M210" t="s">
        <v>613</v>
      </c>
      <c r="N210" t="s">
        <v>163</v>
      </c>
      <c r="P210" t="s">
        <v>39</v>
      </c>
      <c r="R210" t="s">
        <v>622</v>
      </c>
      <c r="S210" s="7" t="s">
        <v>623</v>
      </c>
    </row>
    <row r="211" spans="1:20" x14ac:dyDescent="0.3">
      <c r="A211" t="s">
        <v>629</v>
      </c>
      <c r="B211">
        <v>850</v>
      </c>
      <c r="C211">
        <v>17</v>
      </c>
      <c r="D211" t="s">
        <v>625</v>
      </c>
      <c r="H211" s="13">
        <v>26.5</v>
      </c>
      <c r="I211" s="13">
        <v>-17.05</v>
      </c>
      <c r="K211" t="s">
        <v>38</v>
      </c>
      <c r="M211" t="s">
        <v>613</v>
      </c>
      <c r="N211" t="s">
        <v>163</v>
      </c>
      <c r="P211" t="s">
        <v>39</v>
      </c>
      <c r="R211" t="s">
        <v>622</v>
      </c>
      <c r="S211" s="7" t="s">
        <v>623</v>
      </c>
    </row>
    <row r="212" spans="1:20" x14ac:dyDescent="0.3">
      <c r="A212" t="s">
        <v>628</v>
      </c>
      <c r="B212">
        <v>851</v>
      </c>
      <c r="C212">
        <v>15</v>
      </c>
      <c r="D212" t="s">
        <v>566</v>
      </c>
      <c r="H212" s="13">
        <v>26.5</v>
      </c>
      <c r="I212" s="13">
        <v>-17.05</v>
      </c>
      <c r="K212" t="s">
        <v>38</v>
      </c>
      <c r="M212" t="s">
        <v>613</v>
      </c>
      <c r="N212" t="s">
        <v>163</v>
      </c>
      <c r="P212" t="s">
        <v>39</v>
      </c>
      <c r="R212" t="s">
        <v>622</v>
      </c>
      <c r="S212" s="7" t="s">
        <v>623</v>
      </c>
    </row>
    <row r="213" spans="1:20" x14ac:dyDescent="0.3">
      <c r="A213" t="s">
        <v>631</v>
      </c>
      <c r="B213">
        <v>715</v>
      </c>
      <c r="C213">
        <v>100</v>
      </c>
      <c r="H213" s="13">
        <v>26.5</v>
      </c>
      <c r="I213" s="13">
        <v>-17.05</v>
      </c>
      <c r="K213" t="s">
        <v>38</v>
      </c>
      <c r="M213" t="s">
        <v>613</v>
      </c>
      <c r="N213" t="s">
        <v>163</v>
      </c>
      <c r="P213" t="s">
        <v>39</v>
      </c>
      <c r="R213" t="s">
        <v>222</v>
      </c>
      <c r="S213" s="7" t="s">
        <v>223</v>
      </c>
    </row>
    <row r="214" spans="1:20" x14ac:dyDescent="0.3">
      <c r="A214" t="s">
        <v>632</v>
      </c>
      <c r="B214">
        <v>1440</v>
      </c>
      <c r="C214">
        <v>100</v>
      </c>
      <c r="D214" t="s">
        <v>566</v>
      </c>
      <c r="H214" s="13">
        <v>27.83</v>
      </c>
      <c r="I214" s="13">
        <v>-15.92</v>
      </c>
      <c r="K214" t="s">
        <v>38</v>
      </c>
      <c r="M214" t="s">
        <v>633</v>
      </c>
      <c r="N214" t="s">
        <v>163</v>
      </c>
      <c r="P214" t="s">
        <v>39</v>
      </c>
      <c r="R214" t="s">
        <v>614</v>
      </c>
      <c r="S214" t="s">
        <v>607</v>
      </c>
      <c r="T214" t="s">
        <v>634</v>
      </c>
    </row>
    <row r="215" spans="1:20" x14ac:dyDescent="0.3">
      <c r="A215" t="s">
        <v>637</v>
      </c>
      <c r="B215">
        <v>840</v>
      </c>
      <c r="C215">
        <v>85</v>
      </c>
      <c r="H215" s="13">
        <v>28.777000000000001</v>
      </c>
      <c r="I215" s="13">
        <v>-13.194000000000001</v>
      </c>
      <c r="K215" t="s">
        <v>498</v>
      </c>
      <c r="M215" t="s">
        <v>591</v>
      </c>
      <c r="N215" t="s">
        <v>163</v>
      </c>
      <c r="P215" t="s">
        <v>39</v>
      </c>
      <c r="Q215" t="s">
        <v>439</v>
      </c>
      <c r="R215" t="s">
        <v>242</v>
      </c>
      <c r="S215" s="7" t="s">
        <v>243</v>
      </c>
    </row>
    <row r="216" spans="1:20" x14ac:dyDescent="0.3">
      <c r="A216" t="s">
        <v>638</v>
      </c>
      <c r="B216">
        <v>795</v>
      </c>
      <c r="C216">
        <v>85</v>
      </c>
      <c r="H216" s="13">
        <v>28.777000000000001</v>
      </c>
      <c r="I216" s="13">
        <v>-13.194000000000001</v>
      </c>
      <c r="K216" t="s">
        <v>498</v>
      </c>
      <c r="M216" t="s">
        <v>591</v>
      </c>
      <c r="N216" t="s">
        <v>163</v>
      </c>
      <c r="P216" t="s">
        <v>39</v>
      </c>
      <c r="Q216" t="s">
        <v>439</v>
      </c>
      <c r="R216" t="s">
        <v>242</v>
      </c>
      <c r="S216" s="7" t="s">
        <v>243</v>
      </c>
    </row>
    <row r="217" spans="1:20" x14ac:dyDescent="0.3">
      <c r="A217" t="s">
        <v>642</v>
      </c>
      <c r="B217">
        <v>1510</v>
      </c>
      <c r="C217">
        <v>85</v>
      </c>
      <c r="D217" t="s">
        <v>649</v>
      </c>
      <c r="H217" s="13">
        <v>27.28</v>
      </c>
      <c r="I217" s="13">
        <v>-16.75</v>
      </c>
      <c r="K217" t="s">
        <v>38</v>
      </c>
      <c r="M217" t="s">
        <v>639</v>
      </c>
      <c r="N217" t="s">
        <v>163</v>
      </c>
      <c r="P217" t="s">
        <v>39</v>
      </c>
      <c r="R217" t="s">
        <v>640</v>
      </c>
      <c r="S217" t="s">
        <v>641</v>
      </c>
      <c r="T217" t="s">
        <v>650</v>
      </c>
    </row>
    <row r="218" spans="1:20" x14ac:dyDescent="0.3">
      <c r="A218" t="s">
        <v>643</v>
      </c>
      <c r="B218">
        <v>1410</v>
      </c>
      <c r="C218">
        <v>85</v>
      </c>
      <c r="D218" t="s">
        <v>25</v>
      </c>
      <c r="H218" s="13">
        <v>27.28</v>
      </c>
      <c r="I218" s="13">
        <v>-16.75</v>
      </c>
      <c r="K218" t="s">
        <v>38</v>
      </c>
      <c r="M218" t="s">
        <v>639</v>
      </c>
      <c r="N218" t="s">
        <v>163</v>
      </c>
      <c r="P218" t="s">
        <v>39</v>
      </c>
      <c r="R218" t="s">
        <v>640</v>
      </c>
      <c r="S218" t="s">
        <v>641</v>
      </c>
      <c r="T218" t="s">
        <v>651</v>
      </c>
    </row>
    <row r="219" spans="1:20" x14ac:dyDescent="0.3">
      <c r="A219" t="s">
        <v>644</v>
      </c>
      <c r="B219">
        <v>1200</v>
      </c>
      <c r="C219">
        <v>110</v>
      </c>
      <c r="H219" s="13">
        <v>27.28</v>
      </c>
      <c r="I219" s="13">
        <v>-16.75</v>
      </c>
      <c r="K219" t="s">
        <v>38</v>
      </c>
      <c r="M219" t="s">
        <v>639</v>
      </c>
      <c r="N219" t="s">
        <v>163</v>
      </c>
      <c r="P219" t="s">
        <v>39</v>
      </c>
      <c r="R219" t="s">
        <v>640</v>
      </c>
      <c r="S219" t="s">
        <v>641</v>
      </c>
      <c r="T219" t="s">
        <v>651</v>
      </c>
    </row>
    <row r="220" spans="1:20" x14ac:dyDescent="0.3">
      <c r="A220" t="s">
        <v>645</v>
      </c>
      <c r="B220">
        <v>1100</v>
      </c>
      <c r="C220">
        <v>110</v>
      </c>
      <c r="H220" s="13">
        <v>27.28</v>
      </c>
      <c r="I220" s="13">
        <v>-16.75</v>
      </c>
      <c r="K220" t="s">
        <v>38</v>
      </c>
      <c r="M220" t="s">
        <v>639</v>
      </c>
      <c r="N220" t="s">
        <v>163</v>
      </c>
      <c r="P220" t="s">
        <v>39</v>
      </c>
      <c r="R220" t="s">
        <v>640</v>
      </c>
      <c r="S220" t="s">
        <v>641</v>
      </c>
      <c r="T220" t="s">
        <v>653</v>
      </c>
    </row>
    <row r="221" spans="1:20" x14ac:dyDescent="0.3">
      <c r="A221" t="s">
        <v>341</v>
      </c>
      <c r="B221">
        <v>1070</v>
      </c>
      <c r="C221">
        <v>105</v>
      </c>
      <c r="H221" s="13">
        <v>27.28</v>
      </c>
      <c r="I221" s="13">
        <v>-16.75</v>
      </c>
      <c r="K221" t="s">
        <v>38</v>
      </c>
      <c r="M221" t="s">
        <v>639</v>
      </c>
      <c r="N221" t="s">
        <v>163</v>
      </c>
      <c r="P221" t="s">
        <v>39</v>
      </c>
      <c r="R221" t="s">
        <v>640</v>
      </c>
      <c r="S221" t="s">
        <v>641</v>
      </c>
      <c r="T221" t="s">
        <v>654</v>
      </c>
    </row>
    <row r="222" spans="1:20" x14ac:dyDescent="0.3">
      <c r="A222" t="s">
        <v>646</v>
      </c>
      <c r="B222">
        <v>1030</v>
      </c>
      <c r="C222">
        <v>60</v>
      </c>
      <c r="H222" s="13">
        <v>27.28</v>
      </c>
      <c r="I222" s="13">
        <v>-16.75</v>
      </c>
      <c r="K222" t="s">
        <v>38</v>
      </c>
      <c r="M222" t="s">
        <v>639</v>
      </c>
      <c r="N222" t="s">
        <v>163</v>
      </c>
      <c r="P222" t="s">
        <v>39</v>
      </c>
      <c r="R222" t="s">
        <v>640</v>
      </c>
      <c r="S222" t="s">
        <v>641</v>
      </c>
      <c r="T222" t="s">
        <v>651</v>
      </c>
    </row>
    <row r="223" spans="1:20" x14ac:dyDescent="0.3">
      <c r="A223" t="s">
        <v>647</v>
      </c>
      <c r="B223">
        <v>935</v>
      </c>
      <c r="C223">
        <v>105</v>
      </c>
      <c r="H223" s="13">
        <v>27.28</v>
      </c>
      <c r="I223" s="13">
        <v>-16.75</v>
      </c>
      <c r="K223" t="s">
        <v>38</v>
      </c>
      <c r="M223" t="s">
        <v>639</v>
      </c>
      <c r="N223" t="s">
        <v>163</v>
      </c>
      <c r="P223" t="s">
        <v>39</v>
      </c>
      <c r="R223" t="s">
        <v>640</v>
      </c>
      <c r="S223" t="s">
        <v>641</v>
      </c>
      <c r="T223" t="s">
        <v>652</v>
      </c>
    </row>
    <row r="224" spans="1:20" x14ac:dyDescent="0.3">
      <c r="A224" t="s">
        <v>648</v>
      </c>
      <c r="B224">
        <v>825</v>
      </c>
      <c r="C224">
        <v>105</v>
      </c>
      <c r="H224" s="13">
        <v>27.28</v>
      </c>
      <c r="I224" s="13">
        <v>-16.75</v>
      </c>
      <c r="K224" t="s">
        <v>38</v>
      </c>
      <c r="M224" t="s">
        <v>639</v>
      </c>
      <c r="N224" t="s">
        <v>163</v>
      </c>
      <c r="P224" t="s">
        <v>39</v>
      </c>
      <c r="R224" t="s">
        <v>640</v>
      </c>
      <c r="S224" t="s">
        <v>641</v>
      </c>
      <c r="T224" t="s">
        <v>652</v>
      </c>
    </row>
    <row r="225" spans="1:20" x14ac:dyDescent="0.3">
      <c r="A225" t="s">
        <v>655</v>
      </c>
      <c r="B225">
        <v>1730</v>
      </c>
      <c r="C225">
        <v>90</v>
      </c>
      <c r="D225" t="s">
        <v>25</v>
      </c>
      <c r="H225">
        <v>34.67</v>
      </c>
      <c r="I225">
        <v>-14.58</v>
      </c>
      <c r="K225" t="s">
        <v>38</v>
      </c>
      <c r="M225" t="s">
        <v>656</v>
      </c>
      <c r="N225" t="s">
        <v>90</v>
      </c>
      <c r="P225" t="s">
        <v>39</v>
      </c>
      <c r="Q225" t="s">
        <v>439</v>
      </c>
      <c r="R225" t="s">
        <v>657</v>
      </c>
      <c r="S225" s="7" t="s">
        <v>658</v>
      </c>
      <c r="T225" s="17" t="s">
        <v>659</v>
      </c>
    </row>
    <row r="226" spans="1:20" x14ac:dyDescent="0.3">
      <c r="A226" t="s">
        <v>661</v>
      </c>
      <c r="B226">
        <v>1150</v>
      </c>
      <c r="C226">
        <v>115</v>
      </c>
      <c r="H226" s="13">
        <v>28.5</v>
      </c>
      <c r="I226" s="13">
        <v>-20.533000000000001</v>
      </c>
      <c r="K226" t="s">
        <v>38</v>
      </c>
      <c r="M226" t="s">
        <v>660</v>
      </c>
      <c r="N226" t="s">
        <v>178</v>
      </c>
      <c r="P226" t="s">
        <v>39</v>
      </c>
      <c r="R226" t="s">
        <v>242</v>
      </c>
      <c r="S226" s="7" t="s">
        <v>243</v>
      </c>
      <c r="T226" s="17" t="s">
        <v>663</v>
      </c>
    </row>
    <row r="227" spans="1:20" x14ac:dyDescent="0.3">
      <c r="A227" t="s">
        <v>662</v>
      </c>
      <c r="B227">
        <v>1060</v>
      </c>
      <c r="C227">
        <v>115</v>
      </c>
      <c r="H227" s="13">
        <v>28.5</v>
      </c>
      <c r="I227" s="13">
        <v>-20.533000000000001</v>
      </c>
      <c r="K227" t="s">
        <v>38</v>
      </c>
      <c r="M227" t="s">
        <v>660</v>
      </c>
      <c r="N227" t="s">
        <v>178</v>
      </c>
      <c r="P227" t="s">
        <v>39</v>
      </c>
      <c r="R227" t="s">
        <v>242</v>
      </c>
      <c r="S227" s="7" t="s">
        <v>243</v>
      </c>
      <c r="T227" s="17" t="s">
        <v>663</v>
      </c>
    </row>
    <row r="235" spans="1:20" x14ac:dyDescent="0.3">
      <c r="S235" s="11"/>
    </row>
  </sheetData>
  <autoFilter ref="A1:U227" xr:uid="{E168D24B-2DCA-4AA5-9768-AE7B822E6C83}"/>
  <hyperlinks>
    <hyperlink ref="S2" r:id="rId1" xr:uid="{2F12E78B-C394-455D-AC2B-223F2BEDD629}"/>
    <hyperlink ref="S3:S8" r:id="rId2" display="https://www.cambridge.org/core/journals/antiquity/article/transition-to-farming-in-eastern-africa-new-faunal-and-dating-evidence-from-wadh-lango-and-usenge-kenya/6349026A5CED7E35C0D7EC4BBF2EFB38  " xr:uid="{B578AFCA-54C0-45CA-8985-D6B9D8FB1047}"/>
    <hyperlink ref="S8" r:id="rId3" display="https://www.cambridge.org/core/journals/antiquity/article/transition-to-farming-in-eastern-africa-new-faunal-and-dating-evidence-from-wadh-lango-and-usenge-kenya/6349026A5CED7E35C0D7EC4BBF2EFB38  " xr:uid="{A22D20CA-1F8A-44D7-88E4-6F34DFBD2286}"/>
    <hyperlink ref="S9" r:id="rId4" xr:uid="{43717DE3-1BE8-488F-AA43-2F0031CFB620}"/>
    <hyperlink ref="S10" r:id="rId5" xr:uid="{FCE6FD7C-806C-4440-95CD-B507B880C96D}"/>
    <hyperlink ref="S11" r:id="rId6" display="https://www.cambridge.org/core/journals/radiocarbon/article/ucla-radiocarbon-dates-iv/C02AA1800F2DADDFFAF23A559825B841 " xr:uid="{7D18FE77-CE55-438D-8A86-ECD66F15AF10}"/>
    <hyperlink ref="S13" r:id="rId7" xr:uid="{3099758E-9F85-44E0-9EF7-2E797A717727}"/>
    <hyperlink ref="S12" r:id="rId8" display="https://www.cambridge.org/core/journals/radiocarbon/article/ucla-radiocarbon-dates-iv/C02AA1800F2DADDFFAF23A559825B841 " xr:uid="{5F0AAC1B-A595-46AC-99C1-F5B1552DEFCC}"/>
    <hyperlink ref="S14" r:id="rId9" xr:uid="{710BA4B7-90FB-41D7-995F-449C3FC59B74}"/>
    <hyperlink ref="S15" r:id="rId10" xr:uid="{399AE527-5BBC-4679-B772-CD95F544E593}"/>
    <hyperlink ref="S16" r:id="rId11" xr:uid="{468F9281-C5BC-4B2F-919A-62D67F6F96AB}"/>
    <hyperlink ref="S17" r:id="rId12" xr:uid="{B7C93D4B-DC3A-4879-A0ED-FDA861073689}"/>
    <hyperlink ref="S18" r:id="rId13" xr:uid="{2D5C2A17-3662-40B9-87C3-28BA67AE72D7}"/>
    <hyperlink ref="S19" r:id="rId14" xr:uid="{648F921A-38E6-4089-A63A-74889C11C6EE}"/>
    <hyperlink ref="S20" r:id="rId15" xr:uid="{1F58E486-02A1-4948-8B70-D01D795301F9}"/>
    <hyperlink ref="S21" r:id="rId16" xr:uid="{409F787C-6F17-4D0E-A37F-061435965D68}"/>
    <hyperlink ref="S22" r:id="rId17" display="https://www.jstor.org/stable/180964 " xr:uid="{F8FB3C9A-89EE-4F41-BE60-93B7897BE26C}"/>
    <hyperlink ref="S23" r:id="rId18" xr:uid="{15461552-9EB7-45F2-A43D-94030AFDC7DF}"/>
    <hyperlink ref="S24" r:id="rId19" xr:uid="{12C49DDE-605D-455B-9642-FCAD567BCC94}"/>
    <hyperlink ref="S25" r:id="rId20" xr:uid="{F702DB56-24C5-4635-8B37-579F8EB9ECF1}"/>
    <hyperlink ref="S26" r:id="rId21" xr:uid="{5AAF6778-021A-46BE-B394-F29271394778}"/>
    <hyperlink ref="S27" r:id="rId22" xr:uid="{E0E018DB-7B3A-44D8-B13D-B5545A4EEE3C}"/>
    <hyperlink ref="S28" r:id="rId23" xr:uid="{F33FD4F8-DE02-4784-B6D7-94113CB0922C}"/>
    <hyperlink ref="S29" r:id="rId24" xr:uid="{949DB020-6F7B-4C65-A3EA-4ED84EA36078}"/>
    <hyperlink ref="S30" r:id="rId25" xr:uid="{DA4987F7-7884-46AD-B400-BE7A6BD14C22}"/>
    <hyperlink ref="S34" r:id="rId26" xr:uid="{26FD9216-43C0-437A-9BB7-5C08C09BCF92}"/>
    <hyperlink ref="S35" r:id="rId27" xr:uid="{7226D608-588B-4528-91B5-31DBF16EAC6E}"/>
    <hyperlink ref="S33" r:id="rId28" xr:uid="{FA5B95C9-3F70-41EE-B2CD-3B3D78411880}"/>
    <hyperlink ref="S37" r:id="rId29" xr:uid="{BDD8E6BE-F9D4-4D5C-A7E1-BE951D08B963}"/>
    <hyperlink ref="S38" r:id="rId30" xr:uid="{79AC31FD-3ADC-4E2E-BC09-F3AD7F3FAF23}"/>
    <hyperlink ref="S39" r:id="rId31" xr:uid="{A7BB361D-EC0C-4D60-AE32-337A0473287F}"/>
    <hyperlink ref="S40" r:id="rId32" xr:uid="{28B0E835-2FBC-4F4C-A152-72D9B0CB3B1B}"/>
    <hyperlink ref="S41" r:id="rId33" xr:uid="{D8BA7D1A-351F-4725-BC74-63223DFF0D2D}"/>
    <hyperlink ref="S42" r:id="rId34" xr:uid="{8B5B448A-ED4B-496F-9CC3-D4EA89DA4F28}"/>
    <hyperlink ref="S43" r:id="rId35" xr:uid="{78F44E5A-3085-4335-88AB-EF3F881EAF32}"/>
    <hyperlink ref="S44" r:id="rId36" xr:uid="{5D2C929D-55A0-4A70-9D0A-AE25876A7CEA}"/>
    <hyperlink ref="S47" r:id="rId37" xr:uid="{AEB210E1-6926-49B2-A330-4A4E051127D4}"/>
    <hyperlink ref="S48" r:id="rId38" xr:uid="{18131AB1-4808-442F-915E-B5FA3B465E45}"/>
    <hyperlink ref="S49" r:id="rId39" xr:uid="{98D98850-A036-4EC4-B092-F45066B93F26}"/>
    <hyperlink ref="S50" r:id="rId40" xr:uid="{EF1C0861-26FE-488B-B68C-AD60EE786F49}"/>
    <hyperlink ref="S45" r:id="rId41" xr:uid="{7F634084-F189-405E-9C77-009D38E951B0}"/>
    <hyperlink ref="S46" r:id="rId42" xr:uid="{57D8CFF6-B38B-44FE-B83D-E38C8AE4B604}"/>
    <hyperlink ref="S53" r:id="rId43" xr:uid="{D080B50D-01C5-488A-9FA5-11CA3D4A370F}"/>
    <hyperlink ref="S52" r:id="rId44" xr:uid="{80934571-72A6-4E42-967B-3EF6C06CF3BB}"/>
    <hyperlink ref="S51" r:id="rId45" xr:uid="{2957A827-871D-4C21-8345-C67192CA5F87}"/>
    <hyperlink ref="S54" r:id="rId46" xr:uid="{10B09A25-BB0B-4201-B4EC-95F54027EE8F}"/>
    <hyperlink ref="S55" r:id="rId47" xr:uid="{1D9B8BB2-6F3A-40BF-958E-FE996BA3A76F}"/>
    <hyperlink ref="S36" r:id="rId48" xr:uid="{C81D00FD-3141-4AB8-ACC0-CC3960153FC9}"/>
    <hyperlink ref="S57" r:id="rId49" xr:uid="{F7147642-B3BD-4025-9758-BC7405FC15D7}"/>
    <hyperlink ref="S58" r:id="rId50" xr:uid="{6768FFCA-A029-4FB0-9407-1A327CC21AC2}"/>
    <hyperlink ref="S59" r:id="rId51" xr:uid="{F9488E84-ACD6-47DB-BCDC-CE8F864CD8F9}"/>
    <hyperlink ref="S60" r:id="rId52" xr:uid="{EB105435-B439-48A3-BCDF-6BEC4832317B}"/>
    <hyperlink ref="S61" r:id="rId53" xr:uid="{285869DB-0A1A-4A2A-A5F7-E6D516CEC99D}"/>
    <hyperlink ref="S62" r:id="rId54" xr:uid="{0F02F9B5-C944-4295-A1F2-8E7854FEF96A}"/>
    <hyperlink ref="S63" r:id="rId55" xr:uid="{748886D0-26DD-4010-A97A-3AD57071F260}"/>
    <hyperlink ref="S64" r:id="rId56" xr:uid="{89432332-AFA3-4199-98A1-C00878E15081}"/>
    <hyperlink ref="S65" r:id="rId57" xr:uid="{4420A40C-95FB-4980-B65A-6894F65D7462}"/>
    <hyperlink ref="S66" r:id="rId58" xr:uid="{61F250B2-7263-4B45-9FDA-17B1225D29D8}"/>
    <hyperlink ref="S67" r:id="rId59" xr:uid="{51D000ED-A22F-4B93-A41A-1B7908E69608}"/>
    <hyperlink ref="S68" r:id="rId60" xr:uid="{BDF23FDE-C793-489D-84BD-8C9E06C4A87F}"/>
    <hyperlink ref="S69" r:id="rId61" xr:uid="{F616CF89-6952-4516-8653-181D4CAA576F}"/>
    <hyperlink ref="S70" r:id="rId62" xr:uid="{0AE54DBE-87E1-4567-B8B6-C0269D5D6CF9}"/>
    <hyperlink ref="S71" r:id="rId63" xr:uid="{5029E2EA-4160-42F7-B7B4-0C8FEB1C7CB2}"/>
    <hyperlink ref="S72" r:id="rId64" xr:uid="{210F3DB3-70F1-4EA5-9223-D2C0A948C835}"/>
    <hyperlink ref="S73" r:id="rId65" xr:uid="{BFFA1068-C30D-425A-8825-6E580256BB77}"/>
    <hyperlink ref="S74" r:id="rId66" xr:uid="{2D8EE188-5FF0-48BC-97B0-7AA08CC8821A}"/>
    <hyperlink ref="S75" r:id="rId67" xr:uid="{CACFA875-2BF5-46B8-BE15-C42BC1783007}"/>
    <hyperlink ref="S76" r:id="rId68" xr:uid="{C2F0F2E8-6A72-43FF-9CF4-66FDD4E51591}"/>
    <hyperlink ref="S77" r:id="rId69" xr:uid="{E89E78FC-5835-4335-AD6C-5AE73DB06CED}"/>
    <hyperlink ref="S78" r:id="rId70" xr:uid="{99C0EEDC-6590-45C1-82A8-4DAC4C23B668}"/>
    <hyperlink ref="S79" r:id="rId71" xr:uid="{9450754C-72B1-42F4-B66B-33B3DDA65FA4}"/>
    <hyperlink ref="S80" r:id="rId72" xr:uid="{F4236624-4369-4657-A1A5-B1D1E44971B7}"/>
    <hyperlink ref="S81" r:id="rId73" xr:uid="{A37F7F3C-F3A4-4307-8592-EB4867246055}"/>
    <hyperlink ref="S83" r:id="rId74" xr:uid="{8D19C9A0-7902-4E97-8009-E23D71813205}"/>
    <hyperlink ref="S84" r:id="rId75" xr:uid="{50E883A1-76CA-48A3-84F2-EFEDBDC964B6}"/>
    <hyperlink ref="S85" r:id="rId76" xr:uid="{2F27B60B-B6C4-4B6E-8ED1-1F2F634E348E}"/>
    <hyperlink ref="S86" r:id="rId77" xr:uid="{609BACDE-8815-4989-8C7F-EA3D7C762418}"/>
    <hyperlink ref="S87" r:id="rId78" xr:uid="{273A995B-54B9-4C1D-B831-4EB5435599FF}"/>
    <hyperlink ref="S88" r:id="rId79" xr:uid="{13E3D447-590F-4D5E-8387-BF690F4E51BC}"/>
    <hyperlink ref="S89" r:id="rId80" xr:uid="{2A497313-4AC6-4B11-9C6E-AB3A2A0C02E3}"/>
    <hyperlink ref="S90" r:id="rId81" xr:uid="{A02D7F35-1B5D-4EA6-8C72-526B4E46531E}"/>
    <hyperlink ref="S91" r:id="rId82" xr:uid="{31EEE766-0EFD-416A-A70D-3AB645AFA2DF}"/>
    <hyperlink ref="S92" r:id="rId83" xr:uid="{C270F262-DB7C-4822-ADE9-979E86F2F551}"/>
    <hyperlink ref="S93" r:id="rId84" xr:uid="{47A59118-4D23-4131-BF04-A600B0C1EE2F}"/>
    <hyperlink ref="S82" r:id="rId85" xr:uid="{48B86641-9822-4052-AF9D-461098B300FB}"/>
    <hyperlink ref="S94" r:id="rId86" xr:uid="{4D734F50-AC35-4C37-9182-66E4236262B0}"/>
    <hyperlink ref="S95" r:id="rId87" xr:uid="{0D735820-C3F3-4852-9476-12872932D516}"/>
    <hyperlink ref="S96" r:id="rId88" xr:uid="{53780103-2E38-4BE3-B773-85964A3988E8}"/>
    <hyperlink ref="S97" r:id="rId89" xr:uid="{E41CB48B-80AA-4213-88A9-FC9F7847C400}"/>
    <hyperlink ref="S98" r:id="rId90" xr:uid="{B4FE9C47-4CF0-4801-8E38-8A88A5C02724}"/>
    <hyperlink ref="S99" r:id="rId91" xr:uid="{E75E9152-9742-4589-90EA-94834105BE35}"/>
    <hyperlink ref="S100" r:id="rId92" xr:uid="{7018074F-9964-498F-8FC4-602BFFBE0EC5}"/>
    <hyperlink ref="S101" r:id="rId93" xr:uid="{73B1ED04-FE34-440C-96E2-195524BC4646}"/>
    <hyperlink ref="S102" r:id="rId94" xr:uid="{5EE88231-BCC5-4809-87FF-96312AA7FA16}"/>
    <hyperlink ref="S103" r:id="rId95" xr:uid="{EA9F5017-57DF-46DC-A525-3B6A376BFC6F}"/>
    <hyperlink ref="S104" r:id="rId96" xr:uid="{E47D11A4-C07D-4991-832F-2C7E65F555EE}"/>
    <hyperlink ref="S105" r:id="rId97" xr:uid="{B21B043C-F1FA-420D-B4B5-BBEC8B7338E5}"/>
    <hyperlink ref="S56" r:id="rId98" xr:uid="{F6CB6181-803E-4AA4-B21F-50E921D9CCE3}"/>
    <hyperlink ref="S106" r:id="rId99" xr:uid="{45C7C7CA-DCE0-4AE8-881A-52219307C661}"/>
    <hyperlink ref="S107" r:id="rId100" xr:uid="{9D9AC379-D9ED-4AC2-A2F0-DA4CEB5022BB}"/>
    <hyperlink ref="S108" r:id="rId101" xr:uid="{083AE53F-CC5F-43AE-864C-F206E6D3F720}"/>
    <hyperlink ref="S109" r:id="rId102" xr:uid="{EC4D6596-F098-4A41-8DC4-707BBC34EF79}"/>
    <hyperlink ref="S110" r:id="rId103" xr:uid="{FB6716E3-4245-41D1-870B-50069868C2D0}"/>
    <hyperlink ref="S111" r:id="rId104" xr:uid="{F7DA1EF2-EB63-4419-AE1F-7E3D5F6F35F3}"/>
    <hyperlink ref="S112" r:id="rId105" xr:uid="{1ECDC747-3B66-4012-BC47-333671E153EB}"/>
    <hyperlink ref="S113" r:id="rId106" xr:uid="{2AE2F52B-E763-401E-A20C-A92555E3D6ED}"/>
    <hyperlink ref="S114" r:id="rId107" xr:uid="{A58C35CC-EA84-49A4-9A9C-A7905D7ACFAB}"/>
    <hyperlink ref="S115" r:id="rId108" xr:uid="{07D60D79-4E71-40AD-9278-DD9818A74635}"/>
    <hyperlink ref="S116" r:id="rId109" xr:uid="{DE232006-DEE1-4E44-87AD-A92E632FCC10}"/>
    <hyperlink ref="S117" r:id="rId110" xr:uid="{4D50730D-55C0-4785-A38B-EE803AB62D13}"/>
    <hyperlink ref="S118" r:id="rId111" xr:uid="{BA641BE5-5D73-40B8-9071-0A0816B20622}"/>
    <hyperlink ref="S119" r:id="rId112" xr:uid="{6A3FDFCC-289C-4BFB-94BD-5A5C3311400E}"/>
    <hyperlink ref="S120" r:id="rId113" xr:uid="{064838DB-EC4E-4868-9729-CE077FE6A4F0}"/>
    <hyperlink ref="S121" r:id="rId114" xr:uid="{6A74611F-5108-405B-AE90-77FEE096A673}"/>
    <hyperlink ref="S122" r:id="rId115" xr:uid="{E333C8EB-44D4-45E0-8C1D-D1987986F3E1}"/>
    <hyperlink ref="S123" r:id="rId116" xr:uid="{3E5E713A-DB05-42A1-BB20-A1967814C745}"/>
    <hyperlink ref="S124" r:id="rId117" xr:uid="{FC6DD1C3-1953-4537-A2D7-AB621005F511}"/>
    <hyperlink ref="S125" r:id="rId118" xr:uid="{76EBF594-51B2-4E94-BC34-D5C4C9DA0380}"/>
    <hyperlink ref="S126" r:id="rId119" xr:uid="{1AC98C76-C752-41BB-B5D5-C7840E18735C}"/>
    <hyperlink ref="S32" r:id="rId120" xr:uid="{794B1E65-0D94-46E7-9DBB-DBB0CA171434}"/>
    <hyperlink ref="S127" r:id="rId121" xr:uid="{CCBFC4E9-63ED-449D-BE60-B9803F18AB3E}"/>
    <hyperlink ref="S128" r:id="rId122" xr:uid="{27847CC5-0462-4A70-AC4F-ACC38113615D}"/>
    <hyperlink ref="S129" r:id="rId123" xr:uid="{0C4D8D34-D11C-42BB-B87E-5BE83BAA48C1}"/>
    <hyperlink ref="S130" r:id="rId124" xr:uid="{DE3A715E-7631-44FC-9237-EB00566B494B}"/>
    <hyperlink ref="S131" r:id="rId125" xr:uid="{9D485C1C-7B39-46AD-8560-3440F072FE04}"/>
    <hyperlink ref="S132" r:id="rId126" xr:uid="{2E8D0548-1630-44A0-BD85-362E868EFF52}"/>
    <hyperlink ref="S133" r:id="rId127" xr:uid="{737BA5FA-4520-4505-B6E8-46F030E4CD1F}"/>
    <hyperlink ref="S134" r:id="rId128" xr:uid="{CE54DC0F-C0D5-4A99-84D6-051EDDA4A511}"/>
    <hyperlink ref="S135" r:id="rId129" xr:uid="{FD2A75BF-A240-4BAC-80D1-BCD71BFF1928}"/>
    <hyperlink ref="S136" r:id="rId130" xr:uid="{7BEB09B7-83A9-4722-8312-962A8C097250}"/>
    <hyperlink ref="S137" r:id="rId131" xr:uid="{02B58DD1-E4FB-4401-9C5E-21EED1C519E0}"/>
    <hyperlink ref="S138" r:id="rId132" xr:uid="{CF8B79B6-7806-4A6F-A247-88090647034D}"/>
    <hyperlink ref="S140" r:id="rId133" xr:uid="{B0D4924D-F9F0-45C1-B43B-CEC361999EA8}"/>
    <hyperlink ref="S139" r:id="rId134" xr:uid="{31C434B9-FE85-44D9-8830-B9FCEB2CFE99}"/>
    <hyperlink ref="S141" r:id="rId135" xr:uid="{CEF1BEEF-DA4E-4A45-AB5F-1234FC6E75CD}"/>
    <hyperlink ref="S142" r:id="rId136" xr:uid="{CFCEF064-F849-4A6B-8E47-57E71BF454AE}"/>
    <hyperlink ref="S143" r:id="rId137" xr:uid="{788B3F57-173F-4B6E-B0B4-092F2EA93DB4}"/>
    <hyperlink ref="S144" r:id="rId138" xr:uid="{27969EEE-EE1E-48A8-BBCC-20B59DA8DEEF}"/>
    <hyperlink ref="S145" r:id="rId139" xr:uid="{F8C2E703-34D8-459D-BE92-2617EE543F38}"/>
    <hyperlink ref="S146" r:id="rId140" xr:uid="{796EAEAB-B22E-4AC2-BEC8-7435375C231A}"/>
    <hyperlink ref="S147" r:id="rId141" xr:uid="{56E3FF4D-418B-4B43-9C59-7C9E33A31903}"/>
    <hyperlink ref="S148" r:id="rId142" xr:uid="{744A6FA0-99F1-4589-B268-CC79EEBC56BB}"/>
    <hyperlink ref="S149" r:id="rId143" xr:uid="{97906307-8D82-4289-A510-2004AA3538EF}"/>
    <hyperlink ref="S150" r:id="rId144" xr:uid="{0088E1F3-0ECF-40B3-BFF4-08C214D6BA3B}"/>
    <hyperlink ref="S151" r:id="rId145" xr:uid="{AD94C68D-0CE8-4878-A3CE-5782F310374B}"/>
    <hyperlink ref="S152" r:id="rId146" xr:uid="{DFB264CA-F542-4FEA-9B7A-E0CD340131FE}"/>
    <hyperlink ref="S153" r:id="rId147" xr:uid="{757121DD-84A4-4E9C-9878-678372607C26}"/>
    <hyperlink ref="S154" r:id="rId148" xr:uid="{7374251D-8CF6-4450-B0D2-4A1B30D1F25E}"/>
    <hyperlink ref="S155" r:id="rId149" xr:uid="{9141FC5E-482A-41D1-9685-F0E37E27CBE8}"/>
    <hyperlink ref="S156" r:id="rId150" xr:uid="{BFED2C30-E59F-4535-ABE3-6D7FE752AEAD}"/>
    <hyperlink ref="S157" r:id="rId151" xr:uid="{FE61F871-0F4D-4CB9-8288-1DA5AF641A6D}"/>
    <hyperlink ref="S158" r:id="rId152" xr:uid="{44B0E76F-0B32-4094-B257-E5463346ADCE}"/>
    <hyperlink ref="S159" r:id="rId153" xr:uid="{BC99F181-63EF-45D9-8604-CDF2CF122EF1}"/>
    <hyperlink ref="S160" r:id="rId154" xr:uid="{2B8B6CFB-BC92-4FB3-9B7D-B0191AAE032E}"/>
    <hyperlink ref="S161" r:id="rId155" xr:uid="{BFBE85FE-A0C9-4B53-9A0F-F81DEAD962F0}"/>
    <hyperlink ref="S162" r:id="rId156" xr:uid="{06105344-4EB6-4865-83D1-D5F2A74DFBE9}"/>
    <hyperlink ref="S163" r:id="rId157" xr:uid="{088E9092-0A79-4211-B188-782DA8278E88}"/>
    <hyperlink ref="S164" r:id="rId158" xr:uid="{3A21AA9D-F7FF-4481-9E6D-281537F81A2D}"/>
    <hyperlink ref="S165" r:id="rId159" xr:uid="{00325A85-9C0A-4BAE-A100-1F822FE2E8B9}"/>
    <hyperlink ref="S166" r:id="rId160" xr:uid="{118922DC-7CEC-4BF8-8502-329EC8561033}"/>
    <hyperlink ref="S167" r:id="rId161" xr:uid="{43DBBDEF-858D-4044-AD93-78E19F653D4C}"/>
    <hyperlink ref="S168" r:id="rId162" xr:uid="{5809A288-2572-4313-8555-0A8D2828542E}"/>
    <hyperlink ref="S169" r:id="rId163" xr:uid="{6C2ED43E-1991-4733-8BFC-3E40735674E8}"/>
    <hyperlink ref="S170" r:id="rId164" xr:uid="{3BB69220-8CEA-4364-99C5-3299694DECE6}"/>
    <hyperlink ref="S171" r:id="rId165" xr:uid="{96C0CAEE-6BFD-4560-93DC-6E360A04907E}"/>
    <hyperlink ref="S172" r:id="rId166" xr:uid="{305B9939-DE9E-4B1A-9F56-B01B59E29CB2}"/>
    <hyperlink ref="S173" r:id="rId167" xr:uid="{DE3435C2-E5DA-4341-9F6A-F470F43FCB04}"/>
    <hyperlink ref="S174" r:id="rId168" xr:uid="{7AC53284-441F-4D32-A85A-3F846D8C2593}"/>
    <hyperlink ref="S176" r:id="rId169" xr:uid="{244C302F-4CE3-47AD-8DA4-10C444678305}"/>
    <hyperlink ref="S177" r:id="rId170" xr:uid="{0BD2B415-71D3-4DAA-917D-5A30D704BF1B}"/>
    <hyperlink ref="S178" r:id="rId171" xr:uid="{337CE491-1F2B-4EA5-8EA1-66ADC7ACBA2A}"/>
    <hyperlink ref="S179" r:id="rId172" xr:uid="{828817D6-948D-4CC7-A890-2081BB3AF815}"/>
    <hyperlink ref="S175" r:id="rId173" xr:uid="{F9D9BF79-4B19-4596-BF20-C16895C7A24B}"/>
    <hyperlink ref="S180" r:id="rId174" xr:uid="{27DA425C-4F29-452E-B32B-EF4996217562}"/>
    <hyperlink ref="S181" r:id="rId175" xr:uid="{80F1DAA0-9872-4362-B01E-42CE522A7D32}"/>
    <hyperlink ref="S182" r:id="rId176" xr:uid="{809EBC5C-AC06-4D53-B4AD-24B82E7DF176}"/>
    <hyperlink ref="S183" r:id="rId177" xr:uid="{89749BAF-CCA8-4632-85A4-D89A331745F8}"/>
    <hyperlink ref="S184" r:id="rId178" xr:uid="{4CAD9AF1-40E4-4CB3-8A9C-5FCEC3456978}"/>
    <hyperlink ref="S185" r:id="rId179" xr:uid="{80821551-EFC7-4641-A612-5C990CE05D08}"/>
    <hyperlink ref="S186" r:id="rId180" xr:uid="{09CDABAF-519C-4892-AB88-3127A81BF149}"/>
    <hyperlink ref="S187" r:id="rId181" xr:uid="{0A18D3CE-12F3-4E9F-B2B1-A839CA230387}"/>
    <hyperlink ref="S188" r:id="rId182" xr:uid="{AD25A3D6-7EB7-4E52-A1D7-0AD94F8D2B68}"/>
    <hyperlink ref="S189" r:id="rId183" xr:uid="{3C880A0D-F894-43E9-B614-A92450857377}"/>
    <hyperlink ref="S190" r:id="rId184" xr:uid="{CB8A9182-0164-452E-962A-0A03AAD7F181}"/>
    <hyperlink ref="S205" r:id="rId185" xr:uid="{F7EC8DB4-1316-468B-B565-99E075B26AE0}"/>
    <hyperlink ref="S206" r:id="rId186" xr:uid="{5F29E131-4F6E-4576-BF87-81FF6A00B848}"/>
    <hyperlink ref="S207" r:id="rId187" xr:uid="{F54A8F75-5D44-4799-A91E-E2338CCC30D2}"/>
    <hyperlink ref="S208" r:id="rId188" xr:uid="{1E567301-23AE-4CC6-8C1C-F99C908765B3}"/>
    <hyperlink ref="S209" r:id="rId189" xr:uid="{5C860820-923D-479F-B817-53D566EA8501}"/>
    <hyperlink ref="S210" r:id="rId190" xr:uid="{9E596DA8-452B-4791-895B-25423CD0CC62}"/>
    <hyperlink ref="S211" r:id="rId191" xr:uid="{5E2A90E8-F7ED-4463-BA9F-2ABB509F61D2}"/>
    <hyperlink ref="S212" r:id="rId192" xr:uid="{78122961-31C4-4EE5-BC4F-3C2421079809}"/>
    <hyperlink ref="S213" r:id="rId193" xr:uid="{665BA4EC-296E-40A1-BB34-0EA07E145040}"/>
    <hyperlink ref="S215" r:id="rId194" xr:uid="{06FC2785-F9E6-4796-8112-93DA29C25B9E}"/>
    <hyperlink ref="S216" r:id="rId195" xr:uid="{BC178E62-48CC-401F-8850-749F9D9777E4}"/>
    <hyperlink ref="S225" r:id="rId196" xr:uid="{2A125A2C-49A9-493D-B7E1-3EA8192BE8B4}"/>
    <hyperlink ref="S226" r:id="rId197" xr:uid="{7F4D943F-DE36-4209-872C-D4D1716E1BA0}"/>
    <hyperlink ref="S227" r:id="rId198" xr:uid="{C33FE65D-1287-4934-A353-3054B8F87304}"/>
  </hyperlinks>
  <pageMargins left="0.7" right="0.7" top="0.75" bottom="0.75" header="0.3" footer="0.3"/>
  <pageSetup orientation="portrait" r:id="rId1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8D24B-2DCA-4AA5-9768-AE7B822E6C83}">
  <dimension ref="A1:U269"/>
  <sheetViews>
    <sheetView workbookViewId="0">
      <pane ySplit="1" topLeftCell="A44" activePane="bottomLeft" state="frozen"/>
      <selection pane="bottomLeft" activeCell="U72" sqref="U72"/>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x14ac:dyDescent="0.3">
      <c r="A9" t="s">
        <v>48</v>
      </c>
      <c r="B9">
        <v>1800</v>
      </c>
      <c r="C9">
        <v>80</v>
      </c>
      <c r="D9" t="s">
        <v>25</v>
      </c>
      <c r="H9">
        <v>20.67</v>
      </c>
      <c r="I9">
        <v>-7.37</v>
      </c>
      <c r="K9" t="s">
        <v>38</v>
      </c>
      <c r="M9" t="s">
        <v>51</v>
      </c>
      <c r="N9" t="s">
        <v>50</v>
      </c>
      <c r="P9" t="s">
        <v>39</v>
      </c>
      <c r="Q9" t="s">
        <v>49</v>
      </c>
      <c r="R9" t="s">
        <v>53</v>
      </c>
      <c r="S9" s="2" t="s">
        <v>52</v>
      </c>
      <c r="T9" t="s">
        <v>54</v>
      </c>
    </row>
    <row r="10" spans="1:20" x14ac:dyDescent="0.3">
      <c r="A10" s="3" t="s">
        <v>58</v>
      </c>
      <c r="B10" s="3">
        <v>1330</v>
      </c>
      <c r="C10" s="3">
        <v>80</v>
      </c>
      <c r="D10" s="3" t="s">
        <v>25</v>
      </c>
      <c r="E10" s="3"/>
      <c r="F10" s="3"/>
      <c r="G10" s="3"/>
      <c r="H10" s="3">
        <v>21.37</v>
      </c>
      <c r="I10" s="3">
        <v>-7.63</v>
      </c>
      <c r="J10" s="3"/>
      <c r="K10" s="3" t="s">
        <v>38</v>
      </c>
      <c r="L10" s="3"/>
      <c r="M10" s="3" t="s">
        <v>55</v>
      </c>
      <c r="N10" s="3" t="s">
        <v>50</v>
      </c>
      <c r="O10" s="3"/>
      <c r="P10" s="3" t="s">
        <v>39</v>
      </c>
      <c r="Q10" s="3"/>
      <c r="R10" s="3" t="s">
        <v>69</v>
      </c>
      <c r="S10" s="4" t="s">
        <v>71</v>
      </c>
      <c r="T10" s="3" t="s">
        <v>56</v>
      </c>
    </row>
    <row r="11" spans="1:20" x14ac:dyDescent="0.3">
      <c r="A11" t="s">
        <v>60</v>
      </c>
      <c r="B11">
        <v>1190</v>
      </c>
      <c r="C11">
        <v>80</v>
      </c>
      <c r="D11" t="s">
        <v>25</v>
      </c>
      <c r="H11">
        <v>20.5</v>
      </c>
      <c r="I11">
        <v>-7.37</v>
      </c>
      <c r="K11" t="s">
        <v>38</v>
      </c>
      <c r="M11" t="s">
        <v>59</v>
      </c>
      <c r="N11" t="s">
        <v>50</v>
      </c>
      <c r="P11" t="s">
        <v>39</v>
      </c>
      <c r="R11" t="s">
        <v>69</v>
      </c>
      <c r="S11" s="2" t="s">
        <v>68</v>
      </c>
      <c r="T11" t="s">
        <v>72</v>
      </c>
    </row>
    <row r="12" spans="1:20" x14ac:dyDescent="0.3">
      <c r="A12" t="s">
        <v>57</v>
      </c>
      <c r="B12">
        <v>1010</v>
      </c>
      <c r="C12">
        <v>80</v>
      </c>
      <c r="D12" t="s">
        <v>25</v>
      </c>
      <c r="H12">
        <v>20.85</v>
      </c>
      <c r="I12">
        <v>-7.47</v>
      </c>
      <c r="K12" t="s">
        <v>38</v>
      </c>
      <c r="M12" t="s">
        <v>61</v>
      </c>
      <c r="N12" t="s">
        <v>50</v>
      </c>
      <c r="P12" t="s">
        <v>39</v>
      </c>
      <c r="R12" t="s">
        <v>69</v>
      </c>
      <c r="S12" s="2" t="s">
        <v>70</v>
      </c>
      <c r="T12" t="s">
        <v>73</v>
      </c>
    </row>
    <row r="13" spans="1:20" x14ac:dyDescent="0.3">
      <c r="A13" s="3" t="s">
        <v>63</v>
      </c>
      <c r="B13" s="3">
        <v>880</v>
      </c>
      <c r="C13" s="3">
        <v>80</v>
      </c>
      <c r="D13" s="3" t="s">
        <v>25</v>
      </c>
      <c r="E13" s="3"/>
      <c r="F13" s="3"/>
      <c r="G13" s="3"/>
      <c r="H13" s="3">
        <v>44.17</v>
      </c>
      <c r="I13" s="3">
        <v>-23.83</v>
      </c>
      <c r="J13" s="3"/>
      <c r="K13" s="3" t="s">
        <v>38</v>
      </c>
      <c r="L13" s="3"/>
      <c r="M13" s="3" t="s">
        <v>62</v>
      </c>
      <c r="N13" s="3" t="s">
        <v>50</v>
      </c>
      <c r="O13" s="3"/>
      <c r="P13" s="3" t="s">
        <v>39</v>
      </c>
      <c r="Q13" s="3"/>
      <c r="R13" s="3" t="s">
        <v>69</v>
      </c>
      <c r="S13" s="4" t="s">
        <v>74</v>
      </c>
      <c r="T13" s="3" t="s">
        <v>75</v>
      </c>
    </row>
    <row r="14" spans="1:20" x14ac:dyDescent="0.3">
      <c r="A14" t="s">
        <v>65</v>
      </c>
      <c r="B14">
        <v>800</v>
      </c>
      <c r="C14">
        <v>80</v>
      </c>
      <c r="D14" t="s">
        <v>25</v>
      </c>
      <c r="H14">
        <v>20.47</v>
      </c>
      <c r="I14">
        <v>-7.6</v>
      </c>
      <c r="K14" t="s">
        <v>38</v>
      </c>
      <c r="M14" t="s">
        <v>64</v>
      </c>
      <c r="N14" t="s">
        <v>50</v>
      </c>
      <c r="P14" t="s">
        <v>39</v>
      </c>
      <c r="R14" t="s">
        <v>69</v>
      </c>
      <c r="S14" s="2" t="s">
        <v>71</v>
      </c>
      <c r="T14" t="s">
        <v>72</v>
      </c>
    </row>
    <row r="15" spans="1:20" x14ac:dyDescent="0.3">
      <c r="A15" t="s">
        <v>66</v>
      </c>
      <c r="B15">
        <v>465</v>
      </c>
      <c r="C15">
        <v>80</v>
      </c>
      <c r="D15" t="s">
        <v>25</v>
      </c>
      <c r="H15">
        <v>19.170000000000002</v>
      </c>
      <c r="I15">
        <v>-10.83</v>
      </c>
      <c r="K15" t="s">
        <v>38</v>
      </c>
      <c r="M15" t="s">
        <v>67</v>
      </c>
      <c r="N15" t="s">
        <v>50</v>
      </c>
      <c r="P15" t="s">
        <v>39</v>
      </c>
      <c r="Q15" t="s">
        <v>49</v>
      </c>
      <c r="R15" t="s">
        <v>69</v>
      </c>
      <c r="S15" s="2" t="s">
        <v>68</v>
      </c>
      <c r="T15" t="s">
        <v>73</v>
      </c>
    </row>
    <row r="16" spans="1:20" x14ac:dyDescent="0.3">
      <c r="A16" t="s">
        <v>79</v>
      </c>
      <c r="B16">
        <v>1295</v>
      </c>
      <c r="C16">
        <v>140</v>
      </c>
      <c r="D16" t="s">
        <v>25</v>
      </c>
      <c r="H16">
        <v>36.15</v>
      </c>
      <c r="I16">
        <v>-0.83</v>
      </c>
      <c r="K16" t="s">
        <v>38</v>
      </c>
      <c r="M16" t="s">
        <v>76</v>
      </c>
      <c r="N16" t="s">
        <v>27</v>
      </c>
      <c r="P16" t="s">
        <v>39</v>
      </c>
      <c r="Q16" t="s">
        <v>49</v>
      </c>
      <c r="R16" t="s">
        <v>78</v>
      </c>
      <c r="S16" s="2" t="s">
        <v>77</v>
      </c>
      <c r="T16" t="s">
        <v>82</v>
      </c>
    </row>
    <row r="17" spans="1:20" x14ac:dyDescent="0.3">
      <c r="A17" t="s">
        <v>80</v>
      </c>
      <c r="B17">
        <v>500</v>
      </c>
      <c r="C17">
        <v>145</v>
      </c>
      <c r="D17" t="s">
        <v>25</v>
      </c>
      <c r="H17">
        <v>36.15</v>
      </c>
      <c r="I17">
        <v>-0.83</v>
      </c>
      <c r="K17" t="s">
        <v>38</v>
      </c>
      <c r="M17" t="s">
        <v>76</v>
      </c>
      <c r="N17" t="s">
        <v>27</v>
      </c>
      <c r="P17" t="s">
        <v>39</v>
      </c>
      <c r="R17" t="s">
        <v>78</v>
      </c>
      <c r="S17" s="2" t="s">
        <v>77</v>
      </c>
      <c r="T17" t="s">
        <v>81</v>
      </c>
    </row>
    <row r="18" spans="1:20" x14ac:dyDescent="0.3">
      <c r="A18" t="s">
        <v>86</v>
      </c>
      <c r="B18">
        <v>1580</v>
      </c>
      <c r="C18">
        <v>70</v>
      </c>
      <c r="H18">
        <v>34.18</v>
      </c>
      <c r="I18">
        <v>-14.27</v>
      </c>
      <c r="K18" t="s">
        <v>38</v>
      </c>
      <c r="M18" t="s">
        <v>83</v>
      </c>
      <c r="N18" t="s">
        <v>90</v>
      </c>
      <c r="P18" t="s">
        <v>39</v>
      </c>
      <c r="Q18" t="s">
        <v>49</v>
      </c>
      <c r="R18" t="s">
        <v>88</v>
      </c>
      <c r="S18" s="2" t="s">
        <v>87</v>
      </c>
      <c r="T18" t="s">
        <v>84</v>
      </c>
    </row>
    <row r="19" spans="1:20" x14ac:dyDescent="0.3">
      <c r="A19" t="s">
        <v>85</v>
      </c>
      <c r="B19">
        <v>1680</v>
      </c>
      <c r="C19">
        <v>50</v>
      </c>
      <c r="H19">
        <v>34.18</v>
      </c>
      <c r="I19">
        <v>-14.27</v>
      </c>
      <c r="K19" t="s">
        <v>38</v>
      </c>
      <c r="M19" t="s">
        <v>83</v>
      </c>
      <c r="N19" t="s">
        <v>90</v>
      </c>
      <c r="P19" t="s">
        <v>39</v>
      </c>
      <c r="Q19" t="s">
        <v>49</v>
      </c>
      <c r="R19" t="s">
        <v>89</v>
      </c>
      <c r="S19" s="2" t="s">
        <v>87</v>
      </c>
      <c r="T19" t="s">
        <v>84</v>
      </c>
    </row>
    <row r="20" spans="1:20" x14ac:dyDescent="0.3">
      <c r="A20" t="s">
        <v>91</v>
      </c>
      <c r="B20">
        <v>1750</v>
      </c>
      <c r="C20">
        <v>60</v>
      </c>
      <c r="H20" s="5"/>
      <c r="I20" s="5"/>
      <c r="K20" t="s">
        <v>38</v>
      </c>
      <c r="L20" t="s">
        <v>96</v>
      </c>
      <c r="M20" t="s">
        <v>92</v>
      </c>
      <c r="N20" t="s">
        <v>90</v>
      </c>
      <c r="P20" t="s">
        <v>39</v>
      </c>
      <c r="R20" t="s">
        <v>93</v>
      </c>
      <c r="S20" s="2" t="s">
        <v>94</v>
      </c>
      <c r="T20" t="s">
        <v>95</v>
      </c>
    </row>
    <row r="21" spans="1:20" x14ac:dyDescent="0.3">
      <c r="A21" t="s">
        <v>97</v>
      </c>
      <c r="B21">
        <v>120</v>
      </c>
      <c r="C21">
        <v>50</v>
      </c>
      <c r="D21" t="s">
        <v>25</v>
      </c>
      <c r="H21">
        <v>21.322299999999998</v>
      </c>
      <c r="I21">
        <v>-18.137799999999999</v>
      </c>
      <c r="K21" t="s">
        <v>498</v>
      </c>
      <c r="M21" t="s">
        <v>99</v>
      </c>
      <c r="N21" t="s">
        <v>98</v>
      </c>
      <c r="P21" t="s">
        <v>39</v>
      </c>
      <c r="Q21" t="s">
        <v>49</v>
      </c>
      <c r="R21" t="s">
        <v>100</v>
      </c>
      <c r="S21" s="2" t="s">
        <v>101</v>
      </c>
      <c r="T21" t="s">
        <v>102</v>
      </c>
    </row>
    <row r="22" spans="1:20" x14ac:dyDescent="0.3">
      <c r="A22" t="s">
        <v>103</v>
      </c>
      <c r="B22">
        <v>320</v>
      </c>
      <c r="C22">
        <v>45</v>
      </c>
      <c r="H22" s="13">
        <v>19.856400000000001</v>
      </c>
      <c r="I22">
        <v>-17.883800000000001</v>
      </c>
      <c r="K22" t="s">
        <v>498</v>
      </c>
      <c r="M22" t="s">
        <v>105</v>
      </c>
      <c r="N22" t="s">
        <v>98</v>
      </c>
      <c r="P22" t="s">
        <v>39</v>
      </c>
      <c r="Q22" t="s">
        <v>49</v>
      </c>
      <c r="R22" t="s">
        <v>100</v>
      </c>
      <c r="S22" s="2" t="s">
        <v>155</v>
      </c>
      <c r="T22" t="s">
        <v>547</v>
      </c>
    </row>
    <row r="23" spans="1:20" x14ac:dyDescent="0.3">
      <c r="A23" t="s">
        <v>104</v>
      </c>
      <c r="B23">
        <v>1110</v>
      </c>
      <c r="C23">
        <v>50</v>
      </c>
      <c r="H23" s="13">
        <v>19.567299999999999</v>
      </c>
      <c r="I23">
        <v>-17.875399999999999</v>
      </c>
      <c r="K23" t="s">
        <v>38</v>
      </c>
      <c r="M23" t="s">
        <v>106</v>
      </c>
      <c r="N23" t="s">
        <v>98</v>
      </c>
      <c r="P23" t="s">
        <v>39</v>
      </c>
      <c r="Q23" t="s">
        <v>49</v>
      </c>
      <c r="R23" t="s">
        <v>100</v>
      </c>
      <c r="S23" s="2" t="s">
        <v>155</v>
      </c>
      <c r="T23" t="s">
        <v>546</v>
      </c>
    </row>
    <row r="24" spans="1:20" x14ac:dyDescent="0.3">
      <c r="A24" t="s">
        <v>109</v>
      </c>
      <c r="B24">
        <v>550</v>
      </c>
      <c r="C24">
        <v>120</v>
      </c>
      <c r="H24" s="5"/>
      <c r="I24" s="5"/>
      <c r="K24" t="s">
        <v>38</v>
      </c>
      <c r="M24" t="s">
        <v>114</v>
      </c>
      <c r="N24" t="s">
        <v>108</v>
      </c>
      <c r="P24" t="s">
        <v>39</v>
      </c>
      <c r="R24" t="s">
        <v>100</v>
      </c>
      <c r="S24" s="2" t="s">
        <v>155</v>
      </c>
      <c r="T24" t="s">
        <v>107</v>
      </c>
    </row>
    <row r="25" spans="1:20" x14ac:dyDescent="0.3">
      <c r="A25" t="s">
        <v>110</v>
      </c>
      <c r="B25">
        <v>660</v>
      </c>
      <c r="C25">
        <v>80</v>
      </c>
      <c r="H25" s="5"/>
      <c r="I25" s="5"/>
      <c r="K25" t="s">
        <v>38</v>
      </c>
      <c r="M25" t="s">
        <v>114</v>
      </c>
      <c r="N25" t="s">
        <v>108</v>
      </c>
      <c r="P25" t="s">
        <v>39</v>
      </c>
      <c r="R25" t="s">
        <v>100</v>
      </c>
      <c r="S25" s="2" t="s">
        <v>155</v>
      </c>
      <c r="T25" t="s">
        <v>107</v>
      </c>
    </row>
    <row r="26" spans="1:20" x14ac:dyDescent="0.3">
      <c r="A26" t="s">
        <v>111</v>
      </c>
      <c r="B26">
        <v>850</v>
      </c>
      <c r="C26">
        <v>100</v>
      </c>
      <c r="H26" s="5"/>
      <c r="I26" s="5"/>
      <c r="K26" t="s">
        <v>38</v>
      </c>
      <c r="M26" t="s">
        <v>114</v>
      </c>
      <c r="N26" t="s">
        <v>108</v>
      </c>
      <c r="P26" t="s">
        <v>39</v>
      </c>
      <c r="R26" t="s">
        <v>100</v>
      </c>
      <c r="S26" s="2" t="s">
        <v>155</v>
      </c>
      <c r="T26" t="s">
        <v>107</v>
      </c>
    </row>
    <row r="27" spans="1:20" x14ac:dyDescent="0.3">
      <c r="A27" t="s">
        <v>112</v>
      </c>
      <c r="B27">
        <v>630</v>
      </c>
      <c r="C27">
        <v>80</v>
      </c>
      <c r="H27" s="5"/>
      <c r="I27" s="5"/>
      <c r="K27" t="s">
        <v>38</v>
      </c>
      <c r="M27" t="s">
        <v>113</v>
      </c>
      <c r="N27" t="s">
        <v>108</v>
      </c>
      <c r="P27" t="s">
        <v>39</v>
      </c>
      <c r="R27" t="s">
        <v>100</v>
      </c>
      <c r="S27" s="2" t="s">
        <v>155</v>
      </c>
      <c r="T27" t="s">
        <v>115</v>
      </c>
    </row>
    <row r="28" spans="1:20" x14ac:dyDescent="0.3">
      <c r="A28" t="s">
        <v>116</v>
      </c>
      <c r="B28">
        <v>1660</v>
      </c>
      <c r="C28">
        <v>125</v>
      </c>
      <c r="H28">
        <v>32.200000000000003</v>
      </c>
      <c r="I28">
        <v>2.25</v>
      </c>
      <c r="K28" t="s">
        <v>38</v>
      </c>
      <c r="M28" t="s">
        <v>117</v>
      </c>
      <c r="N28" t="s">
        <v>118</v>
      </c>
      <c r="P28" t="s">
        <v>39</v>
      </c>
      <c r="Q28" t="s">
        <v>49</v>
      </c>
      <c r="R28" t="s">
        <v>100</v>
      </c>
      <c r="S28" s="2" t="s">
        <v>155</v>
      </c>
      <c r="T28" t="s">
        <v>119</v>
      </c>
    </row>
    <row r="29" spans="1:20" x14ac:dyDescent="0.3">
      <c r="A29" t="s">
        <v>120</v>
      </c>
      <c r="B29">
        <v>2179</v>
      </c>
      <c r="C29">
        <v>50</v>
      </c>
      <c r="H29" s="5"/>
      <c r="I29" s="5"/>
      <c r="K29" t="s">
        <v>38</v>
      </c>
      <c r="M29" t="s">
        <v>122</v>
      </c>
      <c r="N29" t="s">
        <v>123</v>
      </c>
      <c r="P29" t="s">
        <v>39</v>
      </c>
      <c r="R29" t="s">
        <v>100</v>
      </c>
      <c r="S29" s="2" t="s">
        <v>155</v>
      </c>
      <c r="T29" t="s">
        <v>124</v>
      </c>
    </row>
    <row r="30" spans="1:20" x14ac:dyDescent="0.3">
      <c r="A30" t="s">
        <v>121</v>
      </c>
      <c r="B30">
        <v>1655</v>
      </c>
      <c r="C30">
        <v>60</v>
      </c>
      <c r="H30" s="5"/>
      <c r="I30" s="5"/>
      <c r="K30" t="s">
        <v>38</v>
      </c>
      <c r="M30" t="s">
        <v>122</v>
      </c>
      <c r="N30" t="s">
        <v>123</v>
      </c>
      <c r="P30" t="s">
        <v>39</v>
      </c>
      <c r="R30" t="s">
        <v>100</v>
      </c>
      <c r="S30" s="2" t="s">
        <v>155</v>
      </c>
    </row>
    <row r="31" spans="1:20" x14ac:dyDescent="0.3">
      <c r="A31" t="s">
        <v>125</v>
      </c>
      <c r="B31">
        <v>2399</v>
      </c>
      <c r="C31">
        <v>115</v>
      </c>
      <c r="H31">
        <v>31.77</v>
      </c>
      <c r="I31">
        <v>-1.45</v>
      </c>
      <c r="K31" t="s">
        <v>38</v>
      </c>
      <c r="M31" t="s">
        <v>127</v>
      </c>
      <c r="N31" t="s">
        <v>128</v>
      </c>
      <c r="P31" t="s">
        <v>39</v>
      </c>
      <c r="Q31" t="s">
        <v>49</v>
      </c>
      <c r="R31" t="s">
        <v>100</v>
      </c>
      <c r="S31" s="2" t="s">
        <v>132</v>
      </c>
      <c r="T31" t="s">
        <v>124</v>
      </c>
    </row>
    <row r="32" spans="1:20" x14ac:dyDescent="0.3">
      <c r="A32" t="s">
        <v>126</v>
      </c>
      <c r="B32">
        <v>2499</v>
      </c>
      <c r="C32">
        <v>115</v>
      </c>
      <c r="H32">
        <v>31.77</v>
      </c>
      <c r="I32">
        <v>-1.45</v>
      </c>
      <c r="K32" t="s">
        <v>38</v>
      </c>
      <c r="M32" t="s">
        <v>127</v>
      </c>
      <c r="N32" t="s">
        <v>128</v>
      </c>
      <c r="P32" t="s">
        <v>39</v>
      </c>
      <c r="Q32" t="s">
        <v>49</v>
      </c>
      <c r="R32" t="s">
        <v>100</v>
      </c>
      <c r="S32" s="2" t="s">
        <v>155</v>
      </c>
      <c r="T32" t="s">
        <v>124</v>
      </c>
    </row>
    <row r="33" spans="1:20" x14ac:dyDescent="0.3">
      <c r="A33" t="s">
        <v>129</v>
      </c>
      <c r="B33">
        <v>1890</v>
      </c>
      <c r="C33">
        <v>115</v>
      </c>
      <c r="H33">
        <v>31.77</v>
      </c>
      <c r="I33">
        <v>-1.45</v>
      </c>
      <c r="K33" t="s">
        <v>38</v>
      </c>
      <c r="M33" t="s">
        <v>127</v>
      </c>
      <c r="N33" t="s">
        <v>128</v>
      </c>
      <c r="P33" t="s">
        <v>39</v>
      </c>
      <c r="Q33" t="s">
        <v>49</v>
      </c>
      <c r="R33" t="s">
        <v>100</v>
      </c>
      <c r="S33" s="2" t="s">
        <v>155</v>
      </c>
    </row>
    <row r="34" spans="1:20" x14ac:dyDescent="0.3">
      <c r="A34" t="s">
        <v>130</v>
      </c>
      <c r="B34">
        <v>1830</v>
      </c>
      <c r="C34">
        <v>120</v>
      </c>
      <c r="H34">
        <v>31.77</v>
      </c>
      <c r="I34">
        <v>-1.45</v>
      </c>
      <c r="K34" t="s">
        <v>38</v>
      </c>
      <c r="M34" t="s">
        <v>127</v>
      </c>
      <c r="N34" t="s">
        <v>128</v>
      </c>
      <c r="P34" t="s">
        <v>39</v>
      </c>
      <c r="Q34" t="s">
        <v>49</v>
      </c>
      <c r="R34" t="s">
        <v>100</v>
      </c>
      <c r="S34" s="2" t="s">
        <v>155</v>
      </c>
    </row>
    <row r="35" spans="1:20" x14ac:dyDescent="0.3">
      <c r="A35" t="s">
        <v>131</v>
      </c>
      <c r="B35">
        <v>1780</v>
      </c>
      <c r="C35">
        <v>100</v>
      </c>
      <c r="H35">
        <v>31.77</v>
      </c>
      <c r="I35">
        <v>-1.45</v>
      </c>
      <c r="K35" t="s">
        <v>38</v>
      </c>
      <c r="M35" t="s">
        <v>127</v>
      </c>
      <c r="N35" t="s">
        <v>128</v>
      </c>
      <c r="P35" t="s">
        <v>39</v>
      </c>
      <c r="Q35" t="s">
        <v>49</v>
      </c>
      <c r="R35" t="s">
        <v>100</v>
      </c>
      <c r="S35" s="2" t="s">
        <v>155</v>
      </c>
    </row>
    <row r="36" spans="1:20" x14ac:dyDescent="0.3">
      <c r="A36" t="s">
        <v>134</v>
      </c>
      <c r="B36">
        <v>250</v>
      </c>
      <c r="C36">
        <v>100</v>
      </c>
      <c r="H36">
        <v>31.77</v>
      </c>
      <c r="I36">
        <v>-1.45</v>
      </c>
      <c r="K36" t="s">
        <v>133</v>
      </c>
      <c r="M36" t="s">
        <v>127</v>
      </c>
      <c r="N36" t="s">
        <v>128</v>
      </c>
      <c r="P36" t="s">
        <v>39</v>
      </c>
      <c r="Q36" t="s">
        <v>49</v>
      </c>
      <c r="R36" t="s">
        <v>100</v>
      </c>
      <c r="S36" s="2" t="s">
        <v>155</v>
      </c>
      <c r="T36" t="s">
        <v>154</v>
      </c>
    </row>
    <row r="37" spans="1:20" x14ac:dyDescent="0.3">
      <c r="A37" t="s">
        <v>135</v>
      </c>
      <c r="B37">
        <v>305</v>
      </c>
      <c r="C37">
        <v>120</v>
      </c>
      <c r="H37">
        <v>31.77</v>
      </c>
      <c r="I37">
        <v>-1.45</v>
      </c>
      <c r="K37" t="s">
        <v>133</v>
      </c>
      <c r="M37" t="s">
        <v>127</v>
      </c>
      <c r="N37" t="s">
        <v>128</v>
      </c>
      <c r="P37" t="s">
        <v>39</v>
      </c>
      <c r="Q37" t="s">
        <v>49</v>
      </c>
      <c r="R37" t="s">
        <v>100</v>
      </c>
      <c r="S37" s="2" t="s">
        <v>155</v>
      </c>
      <c r="T37" t="s">
        <v>154</v>
      </c>
    </row>
    <row r="38" spans="1:20" x14ac:dyDescent="0.3">
      <c r="A38" t="s">
        <v>136</v>
      </c>
      <c r="B38">
        <v>2549</v>
      </c>
      <c r="C38">
        <v>100</v>
      </c>
      <c r="H38">
        <v>31.77</v>
      </c>
      <c r="I38">
        <v>-1.45</v>
      </c>
      <c r="K38" t="s">
        <v>38</v>
      </c>
      <c r="M38" t="s">
        <v>127</v>
      </c>
      <c r="N38" t="s">
        <v>128</v>
      </c>
      <c r="P38" t="s">
        <v>39</v>
      </c>
      <c r="Q38" t="s">
        <v>49</v>
      </c>
      <c r="R38" t="s">
        <v>88</v>
      </c>
      <c r="S38" s="2" t="s">
        <v>87</v>
      </c>
      <c r="T38" t="s">
        <v>394</v>
      </c>
    </row>
    <row r="39" spans="1:20" x14ac:dyDescent="0.3">
      <c r="A39" t="s">
        <v>137</v>
      </c>
      <c r="B39">
        <v>2469</v>
      </c>
      <c r="C39">
        <v>110</v>
      </c>
      <c r="H39">
        <v>31.77</v>
      </c>
      <c r="I39">
        <v>-1.45</v>
      </c>
      <c r="K39" t="s">
        <v>38</v>
      </c>
      <c r="M39" t="s">
        <v>127</v>
      </c>
      <c r="N39" t="s">
        <v>128</v>
      </c>
      <c r="P39" t="s">
        <v>39</v>
      </c>
      <c r="Q39" t="s">
        <v>49</v>
      </c>
      <c r="R39" t="s">
        <v>88</v>
      </c>
      <c r="S39" s="2" t="s">
        <v>87</v>
      </c>
      <c r="T39" t="s">
        <v>394</v>
      </c>
    </row>
    <row r="40" spans="1:20" x14ac:dyDescent="0.3">
      <c r="A40" t="s">
        <v>138</v>
      </c>
      <c r="B40">
        <v>1910</v>
      </c>
      <c r="C40">
        <v>100</v>
      </c>
      <c r="H40" s="5"/>
      <c r="I40" s="5"/>
      <c r="K40" t="s">
        <v>141</v>
      </c>
      <c r="M40" t="s">
        <v>139</v>
      </c>
      <c r="N40" t="s">
        <v>128</v>
      </c>
      <c r="P40" t="s">
        <v>39</v>
      </c>
      <c r="R40" t="s">
        <v>100</v>
      </c>
      <c r="S40" s="2" t="s">
        <v>155</v>
      </c>
      <c r="T40" t="s">
        <v>140</v>
      </c>
    </row>
    <row r="41" spans="1:20" x14ac:dyDescent="0.3">
      <c r="A41" t="s">
        <v>142</v>
      </c>
      <c r="B41">
        <v>965</v>
      </c>
      <c r="C41">
        <v>100</v>
      </c>
      <c r="H41" s="5"/>
      <c r="I41" s="5"/>
      <c r="K41" t="s">
        <v>141</v>
      </c>
      <c r="M41" t="s">
        <v>139</v>
      </c>
      <c r="N41" t="s">
        <v>128</v>
      </c>
      <c r="P41" t="s">
        <v>39</v>
      </c>
      <c r="R41" t="s">
        <v>100</v>
      </c>
      <c r="S41" s="2" t="s">
        <v>155</v>
      </c>
      <c r="T41" t="s">
        <v>144</v>
      </c>
    </row>
    <row r="42" spans="1:20" x14ac:dyDescent="0.3">
      <c r="A42" t="s">
        <v>143</v>
      </c>
      <c r="B42">
        <v>1040</v>
      </c>
      <c r="C42">
        <v>100</v>
      </c>
      <c r="H42" s="5"/>
      <c r="I42" s="5"/>
      <c r="K42" t="s">
        <v>141</v>
      </c>
      <c r="M42" t="s">
        <v>139</v>
      </c>
      <c r="N42" t="s">
        <v>128</v>
      </c>
      <c r="P42" t="s">
        <v>39</v>
      </c>
      <c r="R42" t="s">
        <v>100</v>
      </c>
      <c r="S42" s="2" t="s">
        <v>155</v>
      </c>
      <c r="T42" t="s">
        <v>144</v>
      </c>
    </row>
    <row r="43" spans="1:20" x14ac:dyDescent="0.3">
      <c r="A43" t="s">
        <v>156</v>
      </c>
      <c r="B43">
        <v>1850</v>
      </c>
      <c r="C43">
        <v>50</v>
      </c>
      <c r="H43" s="6">
        <v>28.466999999999999</v>
      </c>
      <c r="I43" s="6">
        <v>-24.1</v>
      </c>
      <c r="K43" t="s">
        <v>141</v>
      </c>
      <c r="M43" t="s">
        <v>157</v>
      </c>
      <c r="N43" t="s">
        <v>158</v>
      </c>
      <c r="P43" t="s">
        <v>39</v>
      </c>
      <c r="R43" t="s">
        <v>159</v>
      </c>
      <c r="S43" s="2" t="s">
        <v>160</v>
      </c>
      <c r="T43" t="s">
        <v>161</v>
      </c>
    </row>
    <row r="44" spans="1:20" x14ac:dyDescent="0.3">
      <c r="A44" t="s">
        <v>390</v>
      </c>
      <c r="B44">
        <v>2259</v>
      </c>
      <c r="C44">
        <v>60</v>
      </c>
      <c r="H44">
        <v>25.12</v>
      </c>
      <c r="I44">
        <v>-16.25</v>
      </c>
      <c r="K44" t="s">
        <v>141</v>
      </c>
      <c r="M44" t="s">
        <v>264</v>
      </c>
      <c r="N44" t="s">
        <v>163</v>
      </c>
      <c r="P44" t="s">
        <v>39</v>
      </c>
      <c r="Q44" t="s">
        <v>49</v>
      </c>
      <c r="R44" t="s">
        <v>391</v>
      </c>
      <c r="S44" s="2" t="s">
        <v>392</v>
      </c>
      <c r="T44" t="s">
        <v>393</v>
      </c>
    </row>
    <row r="45" spans="1:20" x14ac:dyDescent="0.3">
      <c r="A45" t="s">
        <v>162</v>
      </c>
      <c r="B45">
        <v>2100</v>
      </c>
      <c r="C45">
        <v>60</v>
      </c>
      <c r="H45">
        <v>25.12</v>
      </c>
      <c r="I45">
        <v>-16.25</v>
      </c>
      <c r="K45" t="s">
        <v>141</v>
      </c>
      <c r="M45" t="s">
        <v>264</v>
      </c>
      <c r="N45" t="s">
        <v>163</v>
      </c>
      <c r="P45" t="s">
        <v>39</v>
      </c>
      <c r="Q45" t="s">
        <v>49</v>
      </c>
      <c r="R45" t="s">
        <v>164</v>
      </c>
      <c r="S45" s="2" t="s">
        <v>160</v>
      </c>
      <c r="T45" t="s">
        <v>165</v>
      </c>
    </row>
    <row r="46" spans="1:20" x14ac:dyDescent="0.3">
      <c r="A46" t="s">
        <v>166</v>
      </c>
      <c r="B46">
        <v>1930</v>
      </c>
      <c r="C46">
        <v>100</v>
      </c>
      <c r="D46" t="s">
        <v>25</v>
      </c>
      <c r="H46">
        <v>25.12</v>
      </c>
      <c r="I46">
        <v>-16.25</v>
      </c>
      <c r="K46" t="s">
        <v>141</v>
      </c>
      <c r="M46" t="s">
        <v>264</v>
      </c>
      <c r="N46" t="s">
        <v>163</v>
      </c>
      <c r="P46" t="s">
        <v>39</v>
      </c>
      <c r="Q46" t="s">
        <v>49</v>
      </c>
      <c r="R46" t="s">
        <v>168</v>
      </c>
      <c r="S46" s="2" t="s">
        <v>169</v>
      </c>
      <c r="T46" t="s">
        <v>167</v>
      </c>
    </row>
    <row r="47" spans="1:20" x14ac:dyDescent="0.3">
      <c r="A47" t="s">
        <v>172</v>
      </c>
      <c r="B47">
        <v>1854</v>
      </c>
      <c r="C47">
        <v>200</v>
      </c>
      <c r="H47">
        <v>25.12</v>
      </c>
      <c r="I47">
        <v>-16.25</v>
      </c>
      <c r="K47" t="s">
        <v>141</v>
      </c>
      <c r="M47" t="s">
        <v>264</v>
      </c>
      <c r="N47" t="s">
        <v>163</v>
      </c>
      <c r="P47" t="s">
        <v>39</v>
      </c>
      <c r="Q47" t="s">
        <v>49</v>
      </c>
      <c r="R47" t="s">
        <v>171</v>
      </c>
      <c r="S47" s="2" t="s">
        <v>169</v>
      </c>
      <c r="T47" t="s">
        <v>170</v>
      </c>
    </row>
    <row r="48" spans="1:20" x14ac:dyDescent="0.3">
      <c r="A48" t="s">
        <v>230</v>
      </c>
      <c r="B48">
        <v>1710</v>
      </c>
      <c r="C48">
        <v>100</v>
      </c>
      <c r="D48" t="s">
        <v>25</v>
      </c>
      <c r="H48">
        <v>25.12</v>
      </c>
      <c r="I48">
        <v>-16.25</v>
      </c>
      <c r="K48" t="s">
        <v>141</v>
      </c>
      <c r="M48" t="s">
        <v>264</v>
      </c>
      <c r="N48" t="s">
        <v>163</v>
      </c>
      <c r="P48" t="s">
        <v>39</v>
      </c>
      <c r="Q48" t="s">
        <v>49</v>
      </c>
      <c r="R48" t="s">
        <v>222</v>
      </c>
      <c r="S48" s="7" t="s">
        <v>221</v>
      </c>
    </row>
    <row r="49" spans="1:20" x14ac:dyDescent="0.3">
      <c r="A49" t="s">
        <v>175</v>
      </c>
      <c r="B49">
        <v>800</v>
      </c>
      <c r="C49">
        <v>100</v>
      </c>
      <c r="H49">
        <v>25.85</v>
      </c>
      <c r="I49">
        <v>-13.45</v>
      </c>
      <c r="K49" t="s">
        <v>141</v>
      </c>
      <c r="M49" t="s">
        <v>173</v>
      </c>
      <c r="N49" t="s">
        <v>163</v>
      </c>
      <c r="P49" t="s">
        <v>39</v>
      </c>
      <c r="Q49" t="s">
        <v>49</v>
      </c>
      <c r="R49" t="s">
        <v>174</v>
      </c>
      <c r="S49" s="2" t="s">
        <v>169</v>
      </c>
      <c r="T49" t="s">
        <v>176</v>
      </c>
    </row>
    <row r="50" spans="1:20" x14ac:dyDescent="0.3">
      <c r="A50" t="s">
        <v>180</v>
      </c>
      <c r="B50">
        <v>1100</v>
      </c>
      <c r="C50">
        <v>100</v>
      </c>
      <c r="H50">
        <v>31.42</v>
      </c>
      <c r="I50">
        <v>-22.05</v>
      </c>
      <c r="K50" t="s">
        <v>141</v>
      </c>
      <c r="M50" t="s">
        <v>177</v>
      </c>
      <c r="N50" t="s">
        <v>178</v>
      </c>
      <c r="P50" t="s">
        <v>39</v>
      </c>
      <c r="Q50" t="s">
        <v>49</v>
      </c>
      <c r="R50" t="s">
        <v>179</v>
      </c>
      <c r="S50" s="2" t="s">
        <v>169</v>
      </c>
      <c r="T50" t="s">
        <v>181</v>
      </c>
    </row>
    <row r="51" spans="1:20" x14ac:dyDescent="0.3">
      <c r="A51" t="s">
        <v>184</v>
      </c>
      <c r="B51">
        <v>1650</v>
      </c>
      <c r="C51">
        <v>100</v>
      </c>
      <c r="H51">
        <v>32.67</v>
      </c>
      <c r="I51">
        <v>-18.2</v>
      </c>
      <c r="K51" t="s">
        <v>141</v>
      </c>
      <c r="M51" t="s">
        <v>182</v>
      </c>
      <c r="N51" t="s">
        <v>178</v>
      </c>
      <c r="P51" t="s">
        <v>39</v>
      </c>
      <c r="Q51" t="s">
        <v>49</v>
      </c>
      <c r="R51" t="s">
        <v>183</v>
      </c>
      <c r="S51" s="2" t="s">
        <v>169</v>
      </c>
      <c r="T51" t="s">
        <v>185</v>
      </c>
    </row>
    <row r="52" spans="1:20" x14ac:dyDescent="0.3">
      <c r="A52" t="s">
        <v>186</v>
      </c>
      <c r="B52">
        <v>1100</v>
      </c>
      <c r="C52">
        <v>100</v>
      </c>
      <c r="D52" t="s">
        <v>25</v>
      </c>
      <c r="H52">
        <v>32.67</v>
      </c>
      <c r="I52">
        <v>-18.2</v>
      </c>
      <c r="K52" t="s">
        <v>141</v>
      </c>
      <c r="M52" t="s">
        <v>182</v>
      </c>
      <c r="N52" t="s">
        <v>178</v>
      </c>
      <c r="P52" t="s">
        <v>39</v>
      </c>
      <c r="Q52" t="s">
        <v>49</v>
      </c>
      <c r="R52" t="s">
        <v>187</v>
      </c>
      <c r="S52" s="2" t="s">
        <v>169</v>
      </c>
      <c r="T52" t="s">
        <v>188</v>
      </c>
    </row>
    <row r="53" spans="1:20" x14ac:dyDescent="0.3">
      <c r="A53" t="s">
        <v>189</v>
      </c>
      <c r="B53">
        <v>1050</v>
      </c>
      <c r="C53">
        <v>100</v>
      </c>
      <c r="D53" t="s">
        <v>25</v>
      </c>
      <c r="H53">
        <v>32.67</v>
      </c>
      <c r="I53">
        <v>-18.2</v>
      </c>
      <c r="K53" t="s">
        <v>141</v>
      </c>
      <c r="M53" t="s">
        <v>182</v>
      </c>
      <c r="N53" t="s">
        <v>178</v>
      </c>
      <c r="P53" t="s">
        <v>39</v>
      </c>
      <c r="Q53" t="s">
        <v>49</v>
      </c>
      <c r="R53" t="s">
        <v>190</v>
      </c>
      <c r="S53" s="2" t="s">
        <v>169</v>
      </c>
      <c r="T53" t="s">
        <v>191</v>
      </c>
    </row>
    <row r="54" spans="1:20" x14ac:dyDescent="0.3">
      <c r="A54" t="s">
        <v>193</v>
      </c>
      <c r="B54">
        <v>1020</v>
      </c>
      <c r="C54">
        <v>110</v>
      </c>
      <c r="H54">
        <v>32.67</v>
      </c>
      <c r="I54">
        <v>-18.2</v>
      </c>
      <c r="K54" t="s">
        <v>141</v>
      </c>
      <c r="M54" t="s">
        <v>182</v>
      </c>
      <c r="N54" t="s">
        <v>178</v>
      </c>
      <c r="P54" t="s">
        <v>39</v>
      </c>
      <c r="Q54" t="s">
        <v>49</v>
      </c>
      <c r="R54" t="s">
        <v>192</v>
      </c>
      <c r="S54" s="7" t="s">
        <v>194</v>
      </c>
    </row>
    <row r="55" spans="1:20" x14ac:dyDescent="0.3">
      <c r="A55" t="s">
        <v>197</v>
      </c>
      <c r="B55">
        <v>720</v>
      </c>
      <c r="C55">
        <v>120</v>
      </c>
      <c r="H55">
        <v>32.549999999999997</v>
      </c>
      <c r="I55">
        <v>-19.98</v>
      </c>
      <c r="K55" t="s">
        <v>141</v>
      </c>
      <c r="M55" t="s">
        <v>195</v>
      </c>
      <c r="N55" t="s">
        <v>178</v>
      </c>
      <c r="P55" t="s">
        <v>39</v>
      </c>
      <c r="Q55" t="s">
        <v>49</v>
      </c>
      <c r="R55" t="s">
        <v>190</v>
      </c>
      <c r="S55" s="2" t="s">
        <v>169</v>
      </c>
      <c r="T55" t="s">
        <v>196</v>
      </c>
    </row>
    <row r="56" spans="1:20" x14ac:dyDescent="0.3">
      <c r="A56" t="s">
        <v>198</v>
      </c>
      <c r="B56">
        <v>800</v>
      </c>
      <c r="C56">
        <v>90</v>
      </c>
      <c r="H56">
        <v>32.549999999999997</v>
      </c>
      <c r="I56">
        <v>-19.98</v>
      </c>
      <c r="K56" t="s">
        <v>141</v>
      </c>
      <c r="M56" t="s">
        <v>195</v>
      </c>
      <c r="N56" t="s">
        <v>178</v>
      </c>
      <c r="P56" t="s">
        <v>39</v>
      </c>
      <c r="Q56" t="s">
        <v>49</v>
      </c>
      <c r="R56" t="s">
        <v>190</v>
      </c>
      <c r="S56" s="2" t="s">
        <v>169</v>
      </c>
      <c r="T56" t="s">
        <v>199</v>
      </c>
    </row>
    <row r="57" spans="1:20" x14ac:dyDescent="0.3">
      <c r="A57" s="3" t="s">
        <v>201</v>
      </c>
      <c r="B57" s="3">
        <v>370</v>
      </c>
      <c r="C57" s="3">
        <v>50</v>
      </c>
      <c r="D57" s="3"/>
      <c r="E57" s="3"/>
      <c r="F57" s="3"/>
      <c r="G57" s="3"/>
      <c r="H57" s="3">
        <v>31.25</v>
      </c>
      <c r="I57" s="3">
        <v>-8.58</v>
      </c>
      <c r="J57" s="3"/>
      <c r="K57" s="3" t="s">
        <v>141</v>
      </c>
      <c r="L57" s="3"/>
      <c r="M57" s="3" t="s">
        <v>200</v>
      </c>
      <c r="N57" s="3" t="s">
        <v>163</v>
      </c>
      <c r="O57" s="3"/>
      <c r="P57" s="3" t="s">
        <v>39</v>
      </c>
      <c r="Q57" s="3" t="s">
        <v>49</v>
      </c>
      <c r="R57" s="3" t="s">
        <v>190</v>
      </c>
      <c r="S57" s="4" t="s">
        <v>169</v>
      </c>
      <c r="T57" s="3" t="s">
        <v>202</v>
      </c>
    </row>
    <row r="58" spans="1:20" x14ac:dyDescent="0.3">
      <c r="A58" t="s">
        <v>208</v>
      </c>
      <c r="B58">
        <v>1605</v>
      </c>
      <c r="C58">
        <v>40</v>
      </c>
      <c r="H58">
        <v>31.25</v>
      </c>
      <c r="I58">
        <v>-8.58</v>
      </c>
      <c r="K58" t="s">
        <v>141</v>
      </c>
      <c r="M58" t="s">
        <v>200</v>
      </c>
      <c r="N58" t="s">
        <v>163</v>
      </c>
      <c r="P58" t="s">
        <v>39</v>
      </c>
      <c r="Q58" t="s">
        <v>49</v>
      </c>
      <c r="R58" t="s">
        <v>211</v>
      </c>
      <c r="S58" s="8" t="s">
        <v>210</v>
      </c>
      <c r="T58" t="s">
        <v>356</v>
      </c>
    </row>
    <row r="59" spans="1:20" x14ac:dyDescent="0.3">
      <c r="A59" t="s">
        <v>214</v>
      </c>
      <c r="B59">
        <v>1520</v>
      </c>
      <c r="C59">
        <v>40</v>
      </c>
      <c r="H59">
        <v>31.25</v>
      </c>
      <c r="I59">
        <v>-8.58</v>
      </c>
      <c r="K59" t="s">
        <v>141</v>
      </c>
      <c r="M59" t="s">
        <v>200</v>
      </c>
      <c r="N59" t="s">
        <v>163</v>
      </c>
      <c r="P59" t="s">
        <v>39</v>
      </c>
      <c r="Q59" t="s">
        <v>49</v>
      </c>
      <c r="R59" t="s">
        <v>216</v>
      </c>
      <c r="S59" s="8" t="s">
        <v>215</v>
      </c>
      <c r="T59" t="s">
        <v>355</v>
      </c>
    </row>
    <row r="60" spans="1:20" x14ac:dyDescent="0.3">
      <c r="A60" t="s">
        <v>203</v>
      </c>
      <c r="B60">
        <v>930</v>
      </c>
      <c r="C60">
        <v>40</v>
      </c>
      <c r="H60">
        <v>31.25</v>
      </c>
      <c r="I60">
        <v>-8.58</v>
      </c>
      <c r="K60" t="s">
        <v>141</v>
      </c>
      <c r="M60" t="s">
        <v>200</v>
      </c>
      <c r="N60" t="s">
        <v>163</v>
      </c>
      <c r="P60" t="s">
        <v>39</v>
      </c>
      <c r="Q60" t="s">
        <v>49</v>
      </c>
      <c r="R60" t="s">
        <v>190</v>
      </c>
      <c r="S60" s="8" t="s">
        <v>169</v>
      </c>
      <c r="T60" t="s">
        <v>207</v>
      </c>
    </row>
    <row r="61" spans="1:20" x14ac:dyDescent="0.3">
      <c r="A61" t="s">
        <v>204</v>
      </c>
      <c r="B61">
        <v>970</v>
      </c>
      <c r="C61">
        <v>150</v>
      </c>
      <c r="H61">
        <v>31.25</v>
      </c>
      <c r="I61">
        <v>-8.58</v>
      </c>
      <c r="K61" t="s">
        <v>141</v>
      </c>
      <c r="M61" t="s">
        <v>200</v>
      </c>
      <c r="N61" t="s">
        <v>163</v>
      </c>
      <c r="P61" t="s">
        <v>39</v>
      </c>
      <c r="Q61" t="s">
        <v>49</v>
      </c>
      <c r="R61" t="s">
        <v>190</v>
      </c>
      <c r="S61" s="8" t="s">
        <v>169</v>
      </c>
    </row>
    <row r="62" spans="1:20" x14ac:dyDescent="0.3">
      <c r="A62" t="s">
        <v>205</v>
      </c>
      <c r="B62">
        <v>1080</v>
      </c>
      <c r="C62">
        <v>180</v>
      </c>
      <c r="H62">
        <v>31.25</v>
      </c>
      <c r="I62">
        <v>-8.58</v>
      </c>
      <c r="K62" t="s">
        <v>141</v>
      </c>
      <c r="M62" t="s">
        <v>200</v>
      </c>
      <c r="N62" t="s">
        <v>163</v>
      </c>
      <c r="P62" t="s">
        <v>39</v>
      </c>
      <c r="Q62" t="s">
        <v>49</v>
      </c>
      <c r="R62" t="s">
        <v>190</v>
      </c>
      <c r="S62" s="8" t="s">
        <v>169</v>
      </c>
    </row>
    <row r="63" spans="1:20" x14ac:dyDescent="0.3">
      <c r="A63" t="s">
        <v>206</v>
      </c>
      <c r="B63">
        <v>1400</v>
      </c>
      <c r="C63">
        <v>150</v>
      </c>
      <c r="H63">
        <v>31.25</v>
      </c>
      <c r="I63">
        <v>-8.58</v>
      </c>
      <c r="K63" t="s">
        <v>141</v>
      </c>
      <c r="M63" t="s">
        <v>200</v>
      </c>
      <c r="N63" t="s">
        <v>163</v>
      </c>
      <c r="P63" t="s">
        <v>39</v>
      </c>
      <c r="Q63" t="s">
        <v>49</v>
      </c>
      <c r="R63" t="s">
        <v>190</v>
      </c>
      <c r="S63" s="8" t="s">
        <v>169</v>
      </c>
    </row>
    <row r="64" spans="1:20" x14ac:dyDescent="0.3">
      <c r="A64" s="3" t="s">
        <v>212</v>
      </c>
      <c r="B64" s="3">
        <v>1180</v>
      </c>
      <c r="C64" s="3">
        <v>100</v>
      </c>
      <c r="D64" s="3" t="s">
        <v>25</v>
      </c>
      <c r="E64" s="3"/>
      <c r="F64" s="3"/>
      <c r="G64" s="3"/>
      <c r="H64" s="3">
        <v>30.62</v>
      </c>
      <c r="I64" s="3">
        <v>-12.82</v>
      </c>
      <c r="J64" s="3"/>
      <c r="K64" s="3" t="s">
        <v>141</v>
      </c>
      <c r="L64" s="3"/>
      <c r="M64" s="3" t="s">
        <v>209</v>
      </c>
      <c r="N64" s="3" t="s">
        <v>163</v>
      </c>
      <c r="O64" s="3"/>
      <c r="P64" s="3" t="s">
        <v>39</v>
      </c>
      <c r="Q64" s="3" t="s">
        <v>49</v>
      </c>
      <c r="R64" s="3" t="s">
        <v>211</v>
      </c>
      <c r="S64" s="9" t="s">
        <v>210</v>
      </c>
      <c r="T64" s="10" t="s">
        <v>265</v>
      </c>
    </row>
    <row r="65" spans="1:21" x14ac:dyDescent="0.3">
      <c r="A65" s="3" t="s">
        <v>213</v>
      </c>
      <c r="B65" s="3">
        <v>910</v>
      </c>
      <c r="C65" s="3">
        <v>85</v>
      </c>
      <c r="D65" s="3"/>
      <c r="E65" s="3"/>
      <c r="F65" s="3"/>
      <c r="G65" s="3"/>
      <c r="H65" s="3">
        <v>30.62</v>
      </c>
      <c r="I65" s="3">
        <v>-12.82</v>
      </c>
      <c r="J65" s="3"/>
      <c r="K65" s="3" t="s">
        <v>141</v>
      </c>
      <c r="L65" s="3"/>
      <c r="M65" s="3" t="s">
        <v>209</v>
      </c>
      <c r="N65" s="3" t="s">
        <v>163</v>
      </c>
      <c r="O65" s="3"/>
      <c r="P65" s="3" t="s">
        <v>39</v>
      </c>
      <c r="Q65" s="3" t="s">
        <v>49</v>
      </c>
      <c r="R65" s="3" t="s">
        <v>211</v>
      </c>
      <c r="S65" s="9" t="s">
        <v>210</v>
      </c>
      <c r="T65" s="10" t="s">
        <v>265</v>
      </c>
    </row>
    <row r="66" spans="1:21" x14ac:dyDescent="0.3">
      <c r="A66" t="s">
        <v>218</v>
      </c>
      <c r="B66">
        <v>445</v>
      </c>
      <c r="C66">
        <v>70</v>
      </c>
      <c r="H66">
        <v>29.9</v>
      </c>
      <c r="I66">
        <v>0.38</v>
      </c>
      <c r="K66" t="s">
        <v>38</v>
      </c>
      <c r="M66" t="s">
        <v>217</v>
      </c>
      <c r="N66" t="s">
        <v>118</v>
      </c>
      <c r="P66" t="s">
        <v>39</v>
      </c>
      <c r="Q66" t="s">
        <v>49</v>
      </c>
      <c r="R66" t="s">
        <v>222</v>
      </c>
      <c r="S66" s="7" t="s">
        <v>221</v>
      </c>
    </row>
    <row r="67" spans="1:21" x14ac:dyDescent="0.3">
      <c r="A67" t="s">
        <v>219</v>
      </c>
      <c r="B67">
        <v>500</v>
      </c>
      <c r="C67">
        <v>300</v>
      </c>
      <c r="H67">
        <v>29.9</v>
      </c>
      <c r="I67">
        <v>0.38</v>
      </c>
      <c r="K67" t="s">
        <v>38</v>
      </c>
      <c r="M67" t="s">
        <v>217</v>
      </c>
      <c r="N67" t="s">
        <v>118</v>
      </c>
      <c r="P67" t="s">
        <v>39</v>
      </c>
      <c r="Q67" t="s">
        <v>49</v>
      </c>
      <c r="R67" t="s">
        <v>222</v>
      </c>
      <c r="S67" s="7" t="s">
        <v>221</v>
      </c>
    </row>
    <row r="68" spans="1:21" x14ac:dyDescent="0.3">
      <c r="A68" t="s">
        <v>220</v>
      </c>
      <c r="B68">
        <v>580</v>
      </c>
      <c r="C68">
        <v>90</v>
      </c>
      <c r="H68">
        <v>29.9</v>
      </c>
      <c r="I68">
        <v>0.38</v>
      </c>
      <c r="K68" t="s">
        <v>38</v>
      </c>
      <c r="M68" t="s">
        <v>217</v>
      </c>
      <c r="N68" t="s">
        <v>118</v>
      </c>
      <c r="P68" t="s">
        <v>39</v>
      </c>
      <c r="Q68" t="s">
        <v>49</v>
      </c>
      <c r="R68" t="s">
        <v>222</v>
      </c>
      <c r="S68" s="7" t="s">
        <v>221</v>
      </c>
      <c r="T68" t="s">
        <v>304</v>
      </c>
    </row>
    <row r="69" spans="1:21" x14ac:dyDescent="0.3">
      <c r="A69" t="s">
        <v>226</v>
      </c>
      <c r="B69">
        <v>1020</v>
      </c>
      <c r="C69">
        <v>100</v>
      </c>
      <c r="H69">
        <v>39.520000000000003</v>
      </c>
      <c r="I69">
        <v>-8.9499999999999993</v>
      </c>
      <c r="K69" t="s">
        <v>38</v>
      </c>
      <c r="M69" t="s">
        <v>225</v>
      </c>
      <c r="N69" t="s">
        <v>128</v>
      </c>
      <c r="P69" t="s">
        <v>39</v>
      </c>
      <c r="Q69" t="s">
        <v>49</v>
      </c>
      <c r="R69" t="s">
        <v>222</v>
      </c>
      <c r="S69" s="7" t="s">
        <v>221</v>
      </c>
      <c r="T69" s="10" t="s">
        <v>228</v>
      </c>
    </row>
    <row r="70" spans="1:21" x14ac:dyDescent="0.3">
      <c r="A70" t="s">
        <v>227</v>
      </c>
      <c r="B70">
        <v>890</v>
      </c>
      <c r="C70">
        <v>100</v>
      </c>
      <c r="H70">
        <v>39.520000000000003</v>
      </c>
      <c r="I70">
        <v>-8.9499999999999993</v>
      </c>
      <c r="K70" t="s">
        <v>38</v>
      </c>
      <c r="M70" t="s">
        <v>225</v>
      </c>
      <c r="N70" t="s">
        <v>128</v>
      </c>
      <c r="P70" t="s">
        <v>39</v>
      </c>
      <c r="Q70" t="s">
        <v>49</v>
      </c>
      <c r="R70" t="s">
        <v>222</v>
      </c>
      <c r="S70" s="7" t="s">
        <v>221</v>
      </c>
      <c r="T70" s="10" t="s">
        <v>228</v>
      </c>
    </row>
    <row r="71" spans="1:21" x14ac:dyDescent="0.3">
      <c r="A71" t="s">
        <v>347</v>
      </c>
      <c r="B71">
        <v>790</v>
      </c>
      <c r="C71">
        <v>110</v>
      </c>
      <c r="D71" t="s">
        <v>25</v>
      </c>
      <c r="H71">
        <v>39.520000000000003</v>
      </c>
      <c r="I71">
        <v>-8.9499999999999993</v>
      </c>
      <c r="K71" t="s">
        <v>38</v>
      </c>
      <c r="M71" t="s">
        <v>225</v>
      </c>
      <c r="N71" t="s">
        <v>128</v>
      </c>
      <c r="P71" t="s">
        <v>39</v>
      </c>
      <c r="Q71" t="s">
        <v>49</v>
      </c>
      <c r="R71" t="s">
        <v>346</v>
      </c>
      <c r="S71" s="7" t="s">
        <v>345</v>
      </c>
      <c r="T71" t="s">
        <v>348</v>
      </c>
    </row>
    <row r="72" spans="1:21" x14ac:dyDescent="0.3">
      <c r="A72" s="3" t="s">
        <v>229</v>
      </c>
      <c r="B72" s="3">
        <v>366</v>
      </c>
      <c r="C72" s="3">
        <v>100</v>
      </c>
      <c r="D72" s="3"/>
      <c r="E72" s="3"/>
      <c r="F72" s="3"/>
      <c r="G72" s="3"/>
      <c r="H72" s="3">
        <v>36.119999999999997</v>
      </c>
      <c r="I72" s="3">
        <v>-0.3</v>
      </c>
      <c r="J72" s="3"/>
      <c r="K72" s="3" t="s">
        <v>38</v>
      </c>
      <c r="L72" s="3"/>
      <c r="M72" s="3" t="s">
        <v>235</v>
      </c>
      <c r="N72" s="3" t="s">
        <v>27</v>
      </c>
      <c r="O72" s="3"/>
      <c r="P72" s="3" t="s">
        <v>39</v>
      </c>
      <c r="Q72" s="3" t="s">
        <v>49</v>
      </c>
      <c r="R72" s="3" t="s">
        <v>222</v>
      </c>
      <c r="S72" s="9" t="s">
        <v>221</v>
      </c>
      <c r="T72" t="s">
        <v>241</v>
      </c>
      <c r="U72" s="10" t="s">
        <v>319</v>
      </c>
    </row>
    <row r="73" spans="1:21" x14ac:dyDescent="0.3">
      <c r="A73" s="3" t="s">
        <v>237</v>
      </c>
      <c r="B73" s="3">
        <v>430</v>
      </c>
      <c r="C73" s="3">
        <v>105</v>
      </c>
      <c r="D73" s="3"/>
      <c r="E73" s="3"/>
      <c r="F73" s="3"/>
      <c r="G73" s="3"/>
      <c r="H73" s="3">
        <v>36.100830000000002</v>
      </c>
      <c r="I73" s="3">
        <v>-0.26889000000000002</v>
      </c>
      <c r="J73" s="3"/>
      <c r="K73" s="3" t="s">
        <v>38</v>
      </c>
      <c r="L73" s="3"/>
      <c r="M73" s="3" t="s">
        <v>231</v>
      </c>
      <c r="N73" s="3" t="s">
        <v>27</v>
      </c>
      <c r="O73" s="3"/>
      <c r="P73" s="3" t="s">
        <v>39</v>
      </c>
      <c r="Q73" s="3"/>
      <c r="R73" s="3" t="s">
        <v>239</v>
      </c>
      <c r="S73" s="9" t="s">
        <v>238</v>
      </c>
      <c r="T73" t="s">
        <v>240</v>
      </c>
      <c r="U73" s="10" t="s">
        <v>319</v>
      </c>
    </row>
    <row r="74" spans="1:21" x14ac:dyDescent="0.3">
      <c r="A74" s="3" t="s">
        <v>233</v>
      </c>
      <c r="B74" s="3">
        <v>300</v>
      </c>
      <c r="C74" s="3">
        <v>80</v>
      </c>
      <c r="D74" s="3"/>
      <c r="E74" s="3"/>
      <c r="F74" s="3"/>
      <c r="G74" s="3"/>
      <c r="H74" s="3">
        <v>35.380000000000003</v>
      </c>
      <c r="I74" s="3">
        <v>-0.82</v>
      </c>
      <c r="J74" s="3"/>
      <c r="K74" s="3" t="s">
        <v>38</v>
      </c>
      <c r="L74" s="3"/>
      <c r="M74" s="3" t="s">
        <v>232</v>
      </c>
      <c r="N74" s="3" t="s">
        <v>27</v>
      </c>
      <c r="O74" s="3"/>
      <c r="P74" s="3" t="s">
        <v>39</v>
      </c>
      <c r="Q74" s="3"/>
      <c r="R74" s="3" t="s">
        <v>222</v>
      </c>
      <c r="S74" s="9" t="s">
        <v>221</v>
      </c>
      <c r="T74" t="s">
        <v>236</v>
      </c>
      <c r="U74" s="10" t="s">
        <v>319</v>
      </c>
    </row>
    <row r="75" spans="1:21" x14ac:dyDescent="0.3">
      <c r="A75" s="3" t="s">
        <v>234</v>
      </c>
      <c r="B75" s="3">
        <v>300</v>
      </c>
      <c r="C75" s="3">
        <v>60</v>
      </c>
      <c r="D75" s="3"/>
      <c r="E75" s="3"/>
      <c r="F75" s="3"/>
      <c r="G75" s="3"/>
      <c r="H75" s="3">
        <v>35.380000000000003</v>
      </c>
      <c r="I75" s="3">
        <v>-0.82</v>
      </c>
      <c r="J75" s="3"/>
      <c r="K75" s="3" t="s">
        <v>38</v>
      </c>
      <c r="L75" s="3"/>
      <c r="M75" s="3" t="s">
        <v>232</v>
      </c>
      <c r="N75" s="3" t="s">
        <v>27</v>
      </c>
      <c r="O75" s="3"/>
      <c r="P75" s="3" t="s">
        <v>39</v>
      </c>
      <c r="Q75" s="3"/>
      <c r="R75" s="3" t="s">
        <v>222</v>
      </c>
      <c r="S75" s="9" t="s">
        <v>221</v>
      </c>
      <c r="T75" t="s">
        <v>236</v>
      </c>
      <c r="U75" s="10" t="s">
        <v>319</v>
      </c>
    </row>
    <row r="76" spans="1:21" x14ac:dyDescent="0.3">
      <c r="A76" t="s">
        <v>245</v>
      </c>
      <c r="B76">
        <v>1600</v>
      </c>
      <c r="C76">
        <v>110</v>
      </c>
      <c r="H76">
        <v>32.85</v>
      </c>
      <c r="I76">
        <v>-13.53</v>
      </c>
      <c r="K76" t="s">
        <v>38</v>
      </c>
      <c r="M76" t="s">
        <v>244</v>
      </c>
      <c r="N76" t="s">
        <v>163</v>
      </c>
      <c r="P76" t="s">
        <v>39</v>
      </c>
      <c r="Q76" t="s">
        <v>49</v>
      </c>
      <c r="R76" t="s">
        <v>242</v>
      </c>
      <c r="S76" s="11" t="s">
        <v>243</v>
      </c>
    </row>
    <row r="77" spans="1:21" x14ac:dyDescent="0.3">
      <c r="A77" t="s">
        <v>247</v>
      </c>
      <c r="B77">
        <v>1610</v>
      </c>
      <c r="C77">
        <v>115</v>
      </c>
      <c r="H77">
        <v>28.67</v>
      </c>
      <c r="I77">
        <f ca="1">Collected_dates_working!$I$77-13.07</f>
        <v>-13.07</v>
      </c>
      <c r="K77" t="s">
        <v>38</v>
      </c>
      <c r="M77" t="s">
        <v>246</v>
      </c>
      <c r="N77" t="s">
        <v>163</v>
      </c>
      <c r="P77" t="s">
        <v>39</v>
      </c>
      <c r="Q77" t="s">
        <v>49</v>
      </c>
      <c r="R77" t="s">
        <v>242</v>
      </c>
      <c r="S77" s="11" t="s">
        <v>243</v>
      </c>
    </row>
    <row r="78" spans="1:21" x14ac:dyDescent="0.3">
      <c r="A78" t="s">
        <v>248</v>
      </c>
      <c r="B78">
        <v>1185</v>
      </c>
      <c r="C78">
        <v>85</v>
      </c>
      <c r="H78">
        <v>28.67</v>
      </c>
      <c r="I78">
        <f ca="1">Collected_dates_working!$I$77-13.07</f>
        <v>-13.07</v>
      </c>
      <c r="K78" t="s">
        <v>38</v>
      </c>
      <c r="M78" t="s">
        <v>246</v>
      </c>
      <c r="N78" t="s">
        <v>163</v>
      </c>
      <c r="P78" t="s">
        <v>39</v>
      </c>
      <c r="Q78" t="s">
        <v>49</v>
      </c>
      <c r="R78" t="s">
        <v>242</v>
      </c>
      <c r="S78" s="11" t="s">
        <v>243</v>
      </c>
    </row>
    <row r="79" spans="1:21" x14ac:dyDescent="0.3">
      <c r="A79" t="s">
        <v>250</v>
      </c>
      <c r="B79">
        <v>1550</v>
      </c>
      <c r="C79">
        <v>90</v>
      </c>
      <c r="H79">
        <v>26.5</v>
      </c>
      <c r="I79">
        <v>-11.67</v>
      </c>
      <c r="K79" t="s">
        <v>38</v>
      </c>
      <c r="M79" t="s">
        <v>249</v>
      </c>
      <c r="N79" t="s">
        <v>163</v>
      </c>
      <c r="P79" t="s">
        <v>39</v>
      </c>
      <c r="Q79" t="s">
        <v>49</v>
      </c>
      <c r="R79" t="s">
        <v>242</v>
      </c>
      <c r="S79" s="11" t="s">
        <v>243</v>
      </c>
    </row>
    <row r="80" spans="1:21" x14ac:dyDescent="0.3">
      <c r="A80" t="s">
        <v>251</v>
      </c>
      <c r="B80">
        <v>1320</v>
      </c>
      <c r="C80">
        <v>85</v>
      </c>
      <c r="H80">
        <v>26.5</v>
      </c>
      <c r="I80">
        <v>-11.67</v>
      </c>
      <c r="K80" t="s">
        <v>38</v>
      </c>
      <c r="M80" t="s">
        <v>249</v>
      </c>
      <c r="N80" t="s">
        <v>163</v>
      </c>
      <c r="P80" t="s">
        <v>39</v>
      </c>
      <c r="Q80" t="s">
        <v>49</v>
      </c>
      <c r="R80" t="s">
        <v>242</v>
      </c>
      <c r="S80" s="11" t="s">
        <v>243</v>
      </c>
    </row>
    <row r="81" spans="1:20" x14ac:dyDescent="0.3">
      <c r="A81" t="s">
        <v>252</v>
      </c>
      <c r="B81">
        <v>1190</v>
      </c>
      <c r="C81">
        <v>85</v>
      </c>
      <c r="H81">
        <v>26.5</v>
      </c>
      <c r="I81">
        <v>-11.67</v>
      </c>
      <c r="K81" t="s">
        <v>38</v>
      </c>
      <c r="M81" t="s">
        <v>249</v>
      </c>
      <c r="N81" t="s">
        <v>163</v>
      </c>
      <c r="P81" t="s">
        <v>39</v>
      </c>
      <c r="Q81" t="s">
        <v>49</v>
      </c>
      <c r="R81" t="s">
        <v>242</v>
      </c>
      <c r="S81" s="11" t="s">
        <v>243</v>
      </c>
    </row>
    <row r="82" spans="1:20" x14ac:dyDescent="0.3">
      <c r="A82" t="s">
        <v>253</v>
      </c>
      <c r="B82">
        <v>900</v>
      </c>
      <c r="C82">
        <v>60</v>
      </c>
      <c r="H82">
        <v>26.5</v>
      </c>
      <c r="I82">
        <v>-11.67</v>
      </c>
      <c r="K82" t="s">
        <v>38</v>
      </c>
      <c r="M82" t="s">
        <v>249</v>
      </c>
      <c r="N82" t="s">
        <v>163</v>
      </c>
      <c r="P82" t="s">
        <v>39</v>
      </c>
      <c r="Q82" t="s">
        <v>49</v>
      </c>
      <c r="R82" t="s">
        <v>242</v>
      </c>
      <c r="S82" s="11" t="s">
        <v>243</v>
      </c>
    </row>
    <row r="83" spans="1:20" x14ac:dyDescent="0.3">
      <c r="A83" t="s">
        <v>254</v>
      </c>
      <c r="B83">
        <v>560</v>
      </c>
      <c r="C83">
        <v>75</v>
      </c>
      <c r="H83">
        <v>26.5</v>
      </c>
      <c r="I83">
        <v>-11.67</v>
      </c>
      <c r="K83" t="s">
        <v>133</v>
      </c>
      <c r="M83" t="s">
        <v>249</v>
      </c>
      <c r="N83" t="s">
        <v>163</v>
      </c>
      <c r="P83" t="s">
        <v>39</v>
      </c>
      <c r="Q83" t="s">
        <v>49</v>
      </c>
      <c r="R83" t="s">
        <v>242</v>
      </c>
      <c r="S83" s="11" t="s">
        <v>243</v>
      </c>
    </row>
    <row r="84" spans="1:20" x14ac:dyDescent="0.3">
      <c r="A84" t="s">
        <v>255</v>
      </c>
      <c r="B84">
        <v>450</v>
      </c>
      <c r="C84">
        <v>75</v>
      </c>
      <c r="H84">
        <v>26.5</v>
      </c>
      <c r="I84">
        <v>-11.67</v>
      </c>
      <c r="K84" t="s">
        <v>133</v>
      </c>
      <c r="M84" t="s">
        <v>249</v>
      </c>
      <c r="N84" t="s">
        <v>163</v>
      </c>
      <c r="P84" t="s">
        <v>39</v>
      </c>
      <c r="Q84" t="s">
        <v>49</v>
      </c>
      <c r="R84" t="s">
        <v>242</v>
      </c>
      <c r="S84" s="11" t="s">
        <v>243</v>
      </c>
    </row>
    <row r="85" spans="1:20" x14ac:dyDescent="0.3">
      <c r="A85" t="s">
        <v>256</v>
      </c>
      <c r="B85">
        <v>360</v>
      </c>
      <c r="C85">
        <v>80</v>
      </c>
      <c r="H85">
        <v>26.5</v>
      </c>
      <c r="I85">
        <v>-11.67</v>
      </c>
      <c r="K85" t="s">
        <v>133</v>
      </c>
      <c r="M85" t="s">
        <v>249</v>
      </c>
      <c r="N85" t="s">
        <v>163</v>
      </c>
      <c r="P85" t="s">
        <v>39</v>
      </c>
      <c r="Q85" t="s">
        <v>49</v>
      </c>
      <c r="R85" t="s">
        <v>242</v>
      </c>
      <c r="S85" s="11" t="s">
        <v>243</v>
      </c>
    </row>
    <row r="86" spans="1:20" x14ac:dyDescent="0.3">
      <c r="A86" t="s">
        <v>257</v>
      </c>
      <c r="B86">
        <v>295</v>
      </c>
      <c r="C86">
        <v>80</v>
      </c>
      <c r="H86">
        <v>26.5</v>
      </c>
      <c r="I86">
        <v>-11.67</v>
      </c>
      <c r="K86" t="s">
        <v>133</v>
      </c>
      <c r="M86" t="s">
        <v>249</v>
      </c>
      <c r="N86" t="s">
        <v>163</v>
      </c>
      <c r="P86" t="s">
        <v>39</v>
      </c>
      <c r="Q86" t="s">
        <v>49</v>
      </c>
      <c r="R86" t="s">
        <v>242</v>
      </c>
      <c r="S86" s="11" t="s">
        <v>243</v>
      </c>
    </row>
    <row r="87" spans="1:20" x14ac:dyDescent="0.3">
      <c r="A87" t="s">
        <v>259</v>
      </c>
      <c r="B87">
        <v>1540</v>
      </c>
      <c r="C87">
        <v>85</v>
      </c>
      <c r="H87">
        <v>28.37</v>
      </c>
      <c r="I87">
        <v>-15.38</v>
      </c>
      <c r="K87" t="s">
        <v>133</v>
      </c>
      <c r="M87" t="s">
        <v>258</v>
      </c>
      <c r="N87" t="s">
        <v>163</v>
      </c>
      <c r="P87" t="s">
        <v>39</v>
      </c>
      <c r="Q87" t="s">
        <v>49</v>
      </c>
      <c r="R87" t="s">
        <v>242</v>
      </c>
      <c r="S87" s="11" t="s">
        <v>243</v>
      </c>
    </row>
    <row r="88" spans="1:20" x14ac:dyDescent="0.3">
      <c r="A88" t="s">
        <v>260</v>
      </c>
      <c r="B88">
        <v>1525</v>
      </c>
      <c r="C88">
        <v>110</v>
      </c>
      <c r="H88">
        <v>28.37</v>
      </c>
      <c r="I88">
        <v>-15.38</v>
      </c>
      <c r="K88" t="s">
        <v>38</v>
      </c>
      <c r="M88" t="s">
        <v>258</v>
      </c>
      <c r="N88" t="s">
        <v>163</v>
      </c>
      <c r="P88" t="s">
        <v>39</v>
      </c>
      <c r="Q88" t="s">
        <v>49</v>
      </c>
      <c r="R88" t="s">
        <v>242</v>
      </c>
      <c r="S88" s="11" t="s">
        <v>243</v>
      </c>
    </row>
    <row r="89" spans="1:20" x14ac:dyDescent="0.3">
      <c r="A89" t="s">
        <v>261</v>
      </c>
      <c r="B89">
        <v>1445</v>
      </c>
      <c r="C89">
        <v>95</v>
      </c>
      <c r="H89">
        <v>28.37</v>
      </c>
      <c r="I89">
        <v>-15.38</v>
      </c>
      <c r="K89" t="s">
        <v>38</v>
      </c>
      <c r="M89" t="s">
        <v>258</v>
      </c>
      <c r="N89" t="s">
        <v>163</v>
      </c>
      <c r="P89" t="s">
        <v>39</v>
      </c>
      <c r="Q89" t="s">
        <v>49</v>
      </c>
      <c r="R89" t="s">
        <v>242</v>
      </c>
      <c r="S89" s="11" t="s">
        <v>243</v>
      </c>
    </row>
    <row r="90" spans="1:20" x14ac:dyDescent="0.3">
      <c r="A90" t="s">
        <v>263</v>
      </c>
      <c r="B90">
        <v>1070</v>
      </c>
      <c r="C90">
        <v>60</v>
      </c>
      <c r="H90">
        <v>23.82</v>
      </c>
      <c r="I90">
        <v>-14.37</v>
      </c>
      <c r="K90" t="s">
        <v>38</v>
      </c>
      <c r="M90" t="s">
        <v>262</v>
      </c>
      <c r="N90" t="s">
        <v>163</v>
      </c>
      <c r="P90" t="s">
        <v>39</v>
      </c>
      <c r="Q90" t="s">
        <v>49</v>
      </c>
      <c r="R90" t="s">
        <v>242</v>
      </c>
      <c r="S90" s="11" t="s">
        <v>243</v>
      </c>
    </row>
    <row r="91" spans="1:20" x14ac:dyDescent="0.3">
      <c r="A91" s="3" t="s">
        <v>266</v>
      </c>
      <c r="B91" s="3">
        <v>1730</v>
      </c>
      <c r="C91" s="3">
        <v>110</v>
      </c>
      <c r="D91" s="3"/>
      <c r="E91" s="3"/>
      <c r="F91" s="3"/>
      <c r="G91" s="3"/>
      <c r="H91" s="3">
        <v>31.93</v>
      </c>
      <c r="I91" s="3">
        <v>-14.4</v>
      </c>
      <c r="J91" s="3"/>
      <c r="K91" s="3" t="s">
        <v>38</v>
      </c>
      <c r="L91" s="3"/>
      <c r="M91" s="3" t="s">
        <v>269</v>
      </c>
      <c r="N91" s="3" t="s">
        <v>163</v>
      </c>
      <c r="O91" s="3"/>
      <c r="P91" s="3" t="s">
        <v>39</v>
      </c>
      <c r="Q91" s="3" t="s">
        <v>49</v>
      </c>
      <c r="R91" s="3" t="s">
        <v>242</v>
      </c>
      <c r="S91" s="9" t="s">
        <v>243</v>
      </c>
      <c r="T91" s="10" t="s">
        <v>270</v>
      </c>
    </row>
    <row r="92" spans="1:20" x14ac:dyDescent="0.3">
      <c r="A92" s="3" t="s">
        <v>267</v>
      </c>
      <c r="B92" s="3">
        <v>1200</v>
      </c>
      <c r="C92" s="3">
        <v>80</v>
      </c>
      <c r="D92" s="3"/>
      <c r="E92" s="3"/>
      <c r="F92" s="3"/>
      <c r="G92" s="3"/>
      <c r="H92" s="3">
        <v>31.93</v>
      </c>
      <c r="I92" s="3">
        <v>-14.4</v>
      </c>
      <c r="J92" s="3"/>
      <c r="K92" s="3" t="s">
        <v>38</v>
      </c>
      <c r="L92" s="3"/>
      <c r="M92" s="3" t="s">
        <v>269</v>
      </c>
      <c r="N92" s="3" t="s">
        <v>163</v>
      </c>
      <c r="O92" s="3"/>
      <c r="P92" s="3" t="s">
        <v>39</v>
      </c>
      <c r="Q92" s="3" t="s">
        <v>49</v>
      </c>
      <c r="R92" s="3" t="s">
        <v>242</v>
      </c>
      <c r="S92" s="9" t="s">
        <v>243</v>
      </c>
      <c r="T92" s="10" t="s">
        <v>270</v>
      </c>
    </row>
    <row r="93" spans="1:20" x14ac:dyDescent="0.3">
      <c r="A93" s="3" t="s">
        <v>268</v>
      </c>
      <c r="B93" s="3">
        <v>970</v>
      </c>
      <c r="C93" s="3">
        <v>70</v>
      </c>
      <c r="D93" s="3"/>
      <c r="E93" s="3"/>
      <c r="F93" s="3"/>
      <c r="G93" s="3"/>
      <c r="H93" s="3">
        <v>31.93</v>
      </c>
      <c r="I93" s="3">
        <v>-14.4</v>
      </c>
      <c r="J93" s="3"/>
      <c r="K93" s="3" t="s">
        <v>38</v>
      </c>
      <c r="L93" s="3"/>
      <c r="M93" s="3" t="s">
        <v>269</v>
      </c>
      <c r="N93" s="3" t="s">
        <v>163</v>
      </c>
      <c r="O93" s="3"/>
      <c r="P93" s="3" t="s">
        <v>39</v>
      </c>
      <c r="Q93" s="3" t="s">
        <v>49</v>
      </c>
      <c r="R93" s="3" t="s">
        <v>242</v>
      </c>
      <c r="S93" s="9" t="s">
        <v>243</v>
      </c>
      <c r="T93" s="10" t="s">
        <v>270</v>
      </c>
    </row>
    <row r="94" spans="1:20" x14ac:dyDescent="0.3">
      <c r="A94" t="s">
        <v>272</v>
      </c>
      <c r="B94">
        <v>995</v>
      </c>
      <c r="C94">
        <v>61</v>
      </c>
      <c r="H94">
        <v>26.33</v>
      </c>
      <c r="I94">
        <v>-17.07</v>
      </c>
      <c r="K94" t="s">
        <v>38</v>
      </c>
      <c r="M94" t="s">
        <v>271</v>
      </c>
      <c r="N94" t="s">
        <v>163</v>
      </c>
      <c r="P94" t="s">
        <v>39</v>
      </c>
      <c r="Q94" t="s">
        <v>49</v>
      </c>
      <c r="R94" t="s">
        <v>242</v>
      </c>
      <c r="S94" s="11" t="s">
        <v>243</v>
      </c>
      <c r="T94" t="s">
        <v>279</v>
      </c>
    </row>
    <row r="95" spans="1:20" x14ac:dyDescent="0.3">
      <c r="A95" t="s">
        <v>273</v>
      </c>
      <c r="B95">
        <v>960</v>
      </c>
      <c r="C95">
        <v>70</v>
      </c>
      <c r="H95">
        <v>26.33</v>
      </c>
      <c r="I95">
        <v>-17.07</v>
      </c>
      <c r="K95" t="s">
        <v>38</v>
      </c>
      <c r="M95" t="s">
        <v>271</v>
      </c>
      <c r="N95" t="s">
        <v>163</v>
      </c>
      <c r="P95" t="s">
        <v>39</v>
      </c>
      <c r="Q95" t="s">
        <v>49</v>
      </c>
      <c r="R95" t="s">
        <v>242</v>
      </c>
      <c r="S95" s="11" t="s">
        <v>243</v>
      </c>
      <c r="T95" t="s">
        <v>279</v>
      </c>
    </row>
    <row r="96" spans="1:20" x14ac:dyDescent="0.3">
      <c r="A96" t="s">
        <v>274</v>
      </c>
      <c r="B96">
        <v>930</v>
      </c>
      <c r="C96">
        <v>100</v>
      </c>
      <c r="H96">
        <v>26.33</v>
      </c>
      <c r="I96">
        <v>-17.07</v>
      </c>
      <c r="K96" t="s">
        <v>38</v>
      </c>
      <c r="M96" t="s">
        <v>271</v>
      </c>
      <c r="N96" t="s">
        <v>163</v>
      </c>
      <c r="P96" t="s">
        <v>39</v>
      </c>
      <c r="Q96" t="s">
        <v>49</v>
      </c>
      <c r="R96" t="s">
        <v>242</v>
      </c>
      <c r="S96" s="11" t="s">
        <v>243</v>
      </c>
      <c r="T96" t="s">
        <v>664</v>
      </c>
    </row>
    <row r="97" spans="1:20" x14ac:dyDescent="0.3">
      <c r="A97" t="s">
        <v>275</v>
      </c>
      <c r="B97">
        <v>910</v>
      </c>
      <c r="C97">
        <v>100</v>
      </c>
      <c r="H97">
        <v>26.33</v>
      </c>
      <c r="I97">
        <v>-17.07</v>
      </c>
      <c r="K97" t="s">
        <v>38</v>
      </c>
      <c r="M97" t="s">
        <v>271</v>
      </c>
      <c r="N97" t="s">
        <v>163</v>
      </c>
      <c r="P97" t="s">
        <v>39</v>
      </c>
      <c r="Q97" t="s">
        <v>49</v>
      </c>
      <c r="R97" t="s">
        <v>242</v>
      </c>
      <c r="S97" s="11" t="s">
        <v>243</v>
      </c>
    </row>
    <row r="98" spans="1:20" x14ac:dyDescent="0.3">
      <c r="A98" t="s">
        <v>276</v>
      </c>
      <c r="B98">
        <v>900</v>
      </c>
      <c r="C98">
        <v>100</v>
      </c>
      <c r="H98">
        <v>26.33</v>
      </c>
      <c r="I98">
        <v>-17.07</v>
      </c>
      <c r="K98" t="s">
        <v>38</v>
      </c>
      <c r="M98" t="s">
        <v>271</v>
      </c>
      <c r="N98" t="s">
        <v>163</v>
      </c>
      <c r="P98" t="s">
        <v>39</v>
      </c>
      <c r="Q98" t="s">
        <v>49</v>
      </c>
      <c r="R98" t="s">
        <v>242</v>
      </c>
      <c r="S98" s="11" t="s">
        <v>243</v>
      </c>
    </row>
    <row r="99" spans="1:20" x14ac:dyDescent="0.3">
      <c r="A99" t="s">
        <v>277</v>
      </c>
      <c r="B99">
        <v>890</v>
      </c>
      <c r="C99">
        <v>50</v>
      </c>
      <c r="H99">
        <v>26.33</v>
      </c>
      <c r="I99">
        <v>-17.07</v>
      </c>
      <c r="K99" t="s">
        <v>38</v>
      </c>
      <c r="M99" t="s">
        <v>271</v>
      </c>
      <c r="N99" t="s">
        <v>163</v>
      </c>
      <c r="P99" t="s">
        <v>39</v>
      </c>
      <c r="Q99" t="s">
        <v>49</v>
      </c>
      <c r="R99" t="s">
        <v>242</v>
      </c>
      <c r="S99" s="11" t="s">
        <v>243</v>
      </c>
      <c r="T99" t="s">
        <v>279</v>
      </c>
    </row>
    <row r="100" spans="1:20" x14ac:dyDescent="0.3">
      <c r="A100" t="s">
        <v>278</v>
      </c>
      <c r="B100">
        <v>710</v>
      </c>
      <c r="C100">
        <v>50</v>
      </c>
      <c r="H100">
        <v>26.33</v>
      </c>
      <c r="I100">
        <v>-17.07</v>
      </c>
      <c r="K100" t="s">
        <v>38</v>
      </c>
      <c r="M100" t="s">
        <v>271</v>
      </c>
      <c r="N100" t="s">
        <v>163</v>
      </c>
      <c r="P100" t="s">
        <v>39</v>
      </c>
      <c r="Q100" t="s">
        <v>49</v>
      </c>
      <c r="R100" t="s">
        <v>242</v>
      </c>
      <c r="S100" s="11" t="s">
        <v>243</v>
      </c>
      <c r="T100" t="s">
        <v>279</v>
      </c>
    </row>
    <row r="101" spans="1:20" x14ac:dyDescent="0.3">
      <c r="A101" t="s">
        <v>282</v>
      </c>
      <c r="B101">
        <v>1300</v>
      </c>
      <c r="C101">
        <v>90</v>
      </c>
      <c r="H101">
        <v>26.33</v>
      </c>
      <c r="I101">
        <v>-17.07</v>
      </c>
      <c r="K101" t="s">
        <v>38</v>
      </c>
      <c r="M101" t="s">
        <v>271</v>
      </c>
      <c r="N101" t="s">
        <v>163</v>
      </c>
      <c r="P101" t="s">
        <v>39</v>
      </c>
      <c r="Q101" t="s">
        <v>49</v>
      </c>
      <c r="R101" t="s">
        <v>242</v>
      </c>
      <c r="S101" s="11" t="s">
        <v>243</v>
      </c>
      <c r="T101" s="10" t="s">
        <v>283</v>
      </c>
    </row>
    <row r="102" spans="1:20" x14ac:dyDescent="0.3">
      <c r="A102" t="s">
        <v>285</v>
      </c>
      <c r="B102">
        <v>1410</v>
      </c>
      <c r="C102">
        <v>115</v>
      </c>
      <c r="H102">
        <v>26.12</v>
      </c>
      <c r="I102">
        <v>-15.98</v>
      </c>
      <c r="K102" t="s">
        <v>38</v>
      </c>
      <c r="M102" t="s">
        <v>284</v>
      </c>
      <c r="N102" t="s">
        <v>163</v>
      </c>
      <c r="P102" t="s">
        <v>39</v>
      </c>
      <c r="Q102" t="s">
        <v>49</v>
      </c>
      <c r="R102" t="s">
        <v>242</v>
      </c>
      <c r="S102" s="11" t="s">
        <v>243</v>
      </c>
    </row>
    <row r="103" spans="1:20" x14ac:dyDescent="0.3">
      <c r="A103" t="s">
        <v>286</v>
      </c>
      <c r="B103">
        <v>1200</v>
      </c>
      <c r="C103">
        <v>115</v>
      </c>
      <c r="H103">
        <v>26.12</v>
      </c>
      <c r="I103">
        <v>-15.98</v>
      </c>
      <c r="K103" t="s">
        <v>38</v>
      </c>
      <c r="M103" t="s">
        <v>284</v>
      </c>
      <c r="N103" t="s">
        <v>163</v>
      </c>
      <c r="P103" t="s">
        <v>39</v>
      </c>
      <c r="Q103" t="s">
        <v>49</v>
      </c>
      <c r="R103" t="s">
        <v>242</v>
      </c>
      <c r="S103" s="11" t="s">
        <v>243</v>
      </c>
    </row>
    <row r="104" spans="1:20" x14ac:dyDescent="0.3">
      <c r="A104" t="s">
        <v>291</v>
      </c>
      <c r="B104">
        <v>625</v>
      </c>
      <c r="C104">
        <v>110</v>
      </c>
      <c r="H104">
        <v>26.12</v>
      </c>
      <c r="I104">
        <v>-15.98</v>
      </c>
      <c r="K104" t="s">
        <v>38</v>
      </c>
      <c r="M104" t="s">
        <v>284</v>
      </c>
      <c r="N104" t="s">
        <v>163</v>
      </c>
      <c r="P104" t="s">
        <v>39</v>
      </c>
      <c r="Q104" t="s">
        <v>49</v>
      </c>
      <c r="R104" t="s">
        <v>302</v>
      </c>
      <c r="S104" s="7" t="s">
        <v>301</v>
      </c>
    </row>
    <row r="105" spans="1:20" x14ac:dyDescent="0.3">
      <c r="A105" t="s">
        <v>287</v>
      </c>
      <c r="B105">
        <v>965</v>
      </c>
      <c r="C105">
        <v>110</v>
      </c>
      <c r="H105">
        <v>26.12</v>
      </c>
      <c r="I105">
        <v>-15.98</v>
      </c>
      <c r="K105" t="s">
        <v>38</v>
      </c>
      <c r="M105" t="s">
        <v>284</v>
      </c>
      <c r="N105" t="s">
        <v>163</v>
      </c>
      <c r="P105" t="s">
        <v>39</v>
      </c>
      <c r="Q105" t="s">
        <v>49</v>
      </c>
      <c r="R105" t="s">
        <v>242</v>
      </c>
      <c r="S105" s="11" t="s">
        <v>243</v>
      </c>
    </row>
    <row r="106" spans="1:20" x14ac:dyDescent="0.3">
      <c r="A106" t="s">
        <v>288</v>
      </c>
      <c r="B106">
        <v>950</v>
      </c>
      <c r="C106">
        <v>115</v>
      </c>
      <c r="H106">
        <v>26.12</v>
      </c>
      <c r="I106">
        <v>-15.98</v>
      </c>
      <c r="K106" t="s">
        <v>38</v>
      </c>
      <c r="M106" t="s">
        <v>284</v>
      </c>
      <c r="N106" t="s">
        <v>163</v>
      </c>
      <c r="P106" t="s">
        <v>39</v>
      </c>
      <c r="Q106" t="s">
        <v>49</v>
      </c>
      <c r="R106" t="s">
        <v>242</v>
      </c>
      <c r="S106" s="11" t="s">
        <v>243</v>
      </c>
    </row>
    <row r="107" spans="1:20" x14ac:dyDescent="0.3">
      <c r="A107" t="s">
        <v>289</v>
      </c>
      <c r="B107">
        <v>950</v>
      </c>
      <c r="C107">
        <v>115</v>
      </c>
      <c r="H107">
        <v>26.12</v>
      </c>
      <c r="I107">
        <v>-15.98</v>
      </c>
      <c r="K107" t="s">
        <v>38</v>
      </c>
      <c r="M107" t="s">
        <v>284</v>
      </c>
      <c r="N107" t="s">
        <v>163</v>
      </c>
      <c r="P107" t="s">
        <v>39</v>
      </c>
      <c r="Q107" t="s">
        <v>49</v>
      </c>
      <c r="R107" t="s">
        <v>242</v>
      </c>
      <c r="S107" s="11" t="s">
        <v>243</v>
      </c>
    </row>
    <row r="108" spans="1:20" x14ac:dyDescent="0.3">
      <c r="A108" t="s">
        <v>290</v>
      </c>
      <c r="B108">
        <v>755</v>
      </c>
      <c r="C108">
        <v>110</v>
      </c>
      <c r="H108">
        <v>26.12</v>
      </c>
      <c r="I108">
        <v>-15.98</v>
      </c>
      <c r="K108" t="s">
        <v>38</v>
      </c>
      <c r="M108" t="s">
        <v>284</v>
      </c>
      <c r="N108" t="s">
        <v>163</v>
      </c>
      <c r="P108" t="s">
        <v>39</v>
      </c>
      <c r="Q108" t="s">
        <v>49</v>
      </c>
      <c r="R108" t="s">
        <v>242</v>
      </c>
      <c r="S108" s="11" t="s">
        <v>243</v>
      </c>
    </row>
    <row r="109" spans="1:20" x14ac:dyDescent="0.3">
      <c r="A109" t="s">
        <v>291</v>
      </c>
      <c r="B109">
        <v>625</v>
      </c>
      <c r="C109">
        <v>110</v>
      </c>
      <c r="H109">
        <v>26.12</v>
      </c>
      <c r="I109">
        <v>-15.98</v>
      </c>
      <c r="K109" t="s">
        <v>38</v>
      </c>
      <c r="M109" t="s">
        <v>284</v>
      </c>
      <c r="N109" t="s">
        <v>163</v>
      </c>
      <c r="P109" t="s">
        <v>39</v>
      </c>
      <c r="Q109" t="s">
        <v>49</v>
      </c>
      <c r="R109" t="s">
        <v>242</v>
      </c>
      <c r="S109" s="11" t="s">
        <v>243</v>
      </c>
    </row>
    <row r="110" spans="1:20" x14ac:dyDescent="0.3">
      <c r="A110" t="s">
        <v>292</v>
      </c>
      <c r="B110" s="16">
        <v>845</v>
      </c>
      <c r="C110" s="16">
        <v>100</v>
      </c>
      <c r="D110" t="s">
        <v>25</v>
      </c>
      <c r="H110">
        <v>27.4</v>
      </c>
      <c r="I110">
        <v>-16.73</v>
      </c>
      <c r="K110" t="s">
        <v>38</v>
      </c>
      <c r="M110" t="s">
        <v>294</v>
      </c>
      <c r="N110" t="s">
        <v>163</v>
      </c>
      <c r="P110" t="s">
        <v>39</v>
      </c>
      <c r="Q110" t="s">
        <v>49</v>
      </c>
      <c r="R110" t="s">
        <v>242</v>
      </c>
      <c r="S110" s="11" t="s">
        <v>243</v>
      </c>
      <c r="T110" s="10" t="s">
        <v>295</v>
      </c>
    </row>
    <row r="111" spans="1:20" x14ac:dyDescent="0.3">
      <c r="A111" t="s">
        <v>293</v>
      </c>
      <c r="B111" s="16">
        <v>745</v>
      </c>
      <c r="C111" s="16">
        <v>105</v>
      </c>
      <c r="D111" t="s">
        <v>25</v>
      </c>
      <c r="H111">
        <v>27.4</v>
      </c>
      <c r="I111">
        <v>-16.73</v>
      </c>
      <c r="K111" t="s">
        <v>38</v>
      </c>
      <c r="M111" t="s">
        <v>294</v>
      </c>
      <c r="N111" t="s">
        <v>163</v>
      </c>
      <c r="P111" t="s">
        <v>39</v>
      </c>
      <c r="Q111" t="s">
        <v>49</v>
      </c>
      <c r="R111" t="s">
        <v>242</v>
      </c>
      <c r="S111" s="11" t="s">
        <v>243</v>
      </c>
      <c r="T111" s="10" t="s">
        <v>295</v>
      </c>
    </row>
    <row r="112" spans="1:20" x14ac:dyDescent="0.3">
      <c r="A112" t="s">
        <v>296</v>
      </c>
      <c r="B112">
        <v>730</v>
      </c>
      <c r="C112">
        <v>50</v>
      </c>
      <c r="D112" t="s">
        <v>25</v>
      </c>
      <c r="H112">
        <v>27.4</v>
      </c>
      <c r="I112">
        <v>-16.73</v>
      </c>
      <c r="K112" t="s">
        <v>38</v>
      </c>
      <c r="M112" t="s">
        <v>294</v>
      </c>
      <c r="N112" t="s">
        <v>163</v>
      </c>
      <c r="P112" t="s">
        <v>39</v>
      </c>
      <c r="Q112" t="s">
        <v>49</v>
      </c>
      <c r="R112" t="s">
        <v>242</v>
      </c>
      <c r="S112" s="11" t="s">
        <v>243</v>
      </c>
      <c r="T112" s="10" t="s">
        <v>295</v>
      </c>
    </row>
    <row r="113" spans="1:20" x14ac:dyDescent="0.3">
      <c r="A113" t="s">
        <v>297</v>
      </c>
      <c r="B113">
        <v>1745</v>
      </c>
      <c r="C113">
        <v>170</v>
      </c>
      <c r="H113">
        <v>33.65</v>
      </c>
      <c r="I113">
        <v>-11.12</v>
      </c>
      <c r="K113" t="s">
        <v>38</v>
      </c>
      <c r="M113" t="s">
        <v>298</v>
      </c>
      <c r="N113" t="s">
        <v>90</v>
      </c>
      <c r="P113" t="s">
        <v>39</v>
      </c>
      <c r="Q113" t="s">
        <v>49</v>
      </c>
      <c r="R113" t="s">
        <v>302</v>
      </c>
      <c r="S113" s="7" t="s">
        <v>301</v>
      </c>
    </row>
    <row r="114" spans="1:20" x14ac:dyDescent="0.3">
      <c r="A114" t="s">
        <v>299</v>
      </c>
      <c r="B114">
        <v>1445</v>
      </c>
      <c r="C114">
        <v>120</v>
      </c>
      <c r="H114">
        <v>33.65</v>
      </c>
      <c r="I114">
        <v>-11.12</v>
      </c>
      <c r="K114" t="s">
        <v>38</v>
      </c>
      <c r="M114" t="s">
        <v>298</v>
      </c>
      <c r="N114" t="s">
        <v>90</v>
      </c>
      <c r="P114" t="s">
        <v>39</v>
      </c>
      <c r="Q114" t="s">
        <v>49</v>
      </c>
      <c r="R114" t="s">
        <v>302</v>
      </c>
      <c r="S114" s="7" t="s">
        <v>301</v>
      </c>
    </row>
    <row r="115" spans="1:20" x14ac:dyDescent="0.3">
      <c r="A115" t="s">
        <v>300</v>
      </c>
      <c r="B115">
        <v>1655</v>
      </c>
      <c r="C115">
        <v>95</v>
      </c>
      <c r="H115">
        <v>33.65</v>
      </c>
      <c r="I115">
        <v>-11.12</v>
      </c>
      <c r="K115" t="s">
        <v>38</v>
      </c>
      <c r="M115" t="s">
        <v>298</v>
      </c>
      <c r="N115" t="s">
        <v>90</v>
      </c>
      <c r="P115" t="s">
        <v>39</v>
      </c>
      <c r="Q115" t="s">
        <v>49</v>
      </c>
      <c r="R115" t="s">
        <v>302</v>
      </c>
      <c r="S115" s="7" t="s">
        <v>301</v>
      </c>
    </row>
    <row r="116" spans="1:20" x14ac:dyDescent="0.3">
      <c r="A116" t="s">
        <v>306</v>
      </c>
      <c r="B116">
        <v>1530</v>
      </c>
      <c r="C116">
        <v>160</v>
      </c>
      <c r="H116">
        <v>30.38</v>
      </c>
      <c r="I116">
        <v>-5.07</v>
      </c>
      <c r="K116" t="s">
        <v>38</v>
      </c>
      <c r="M116" t="s">
        <v>303</v>
      </c>
      <c r="N116" t="s">
        <v>128</v>
      </c>
      <c r="P116" t="s">
        <v>39</v>
      </c>
      <c r="Q116" t="s">
        <v>49</v>
      </c>
      <c r="R116" t="s">
        <v>302</v>
      </c>
      <c r="S116" s="7" t="s">
        <v>301</v>
      </c>
    </row>
    <row r="117" spans="1:20" x14ac:dyDescent="0.3">
      <c r="A117" t="s">
        <v>307</v>
      </c>
      <c r="B117">
        <v>765</v>
      </c>
      <c r="C117">
        <v>105</v>
      </c>
      <c r="H117">
        <v>30.38</v>
      </c>
      <c r="I117">
        <v>-5.07</v>
      </c>
      <c r="K117" t="s">
        <v>38</v>
      </c>
      <c r="M117" t="s">
        <v>303</v>
      </c>
      <c r="N117" t="s">
        <v>128</v>
      </c>
      <c r="P117" t="s">
        <v>39</v>
      </c>
      <c r="Q117" t="s">
        <v>49</v>
      </c>
      <c r="R117" t="s">
        <v>302</v>
      </c>
      <c r="S117" s="7" t="s">
        <v>301</v>
      </c>
      <c r="T117" s="12" t="s">
        <v>305</v>
      </c>
    </row>
    <row r="118" spans="1:20" x14ac:dyDescent="0.3">
      <c r="A118" t="s">
        <v>308</v>
      </c>
      <c r="B118">
        <v>210</v>
      </c>
      <c r="C118">
        <v>110</v>
      </c>
      <c r="H118">
        <v>30.38</v>
      </c>
      <c r="I118">
        <v>-5.07</v>
      </c>
      <c r="K118" t="s">
        <v>38</v>
      </c>
      <c r="M118" t="s">
        <v>303</v>
      </c>
      <c r="N118" t="s">
        <v>128</v>
      </c>
      <c r="P118" t="s">
        <v>39</v>
      </c>
      <c r="Q118" t="s">
        <v>49</v>
      </c>
      <c r="R118" t="s">
        <v>302</v>
      </c>
      <c r="S118" s="7" t="s">
        <v>301</v>
      </c>
      <c r="T118" s="12"/>
    </row>
    <row r="119" spans="1:20" x14ac:dyDescent="0.3">
      <c r="A119" t="s">
        <v>311</v>
      </c>
      <c r="B119" s="6">
        <v>1850</v>
      </c>
      <c r="C119">
        <v>115</v>
      </c>
      <c r="H119">
        <v>39.43</v>
      </c>
      <c r="I119">
        <v>-4.18</v>
      </c>
      <c r="K119" t="s">
        <v>38</v>
      </c>
      <c r="M119" t="s">
        <v>309</v>
      </c>
      <c r="N119" t="s">
        <v>27</v>
      </c>
      <c r="P119" t="s">
        <v>39</v>
      </c>
      <c r="Q119" t="s">
        <v>49</v>
      </c>
      <c r="R119" t="s">
        <v>302</v>
      </c>
      <c r="S119" s="7" t="s">
        <v>301</v>
      </c>
      <c r="T119" t="s">
        <v>316</v>
      </c>
    </row>
    <row r="120" spans="1:20" x14ac:dyDescent="0.3">
      <c r="A120" t="s">
        <v>312</v>
      </c>
      <c r="B120" s="6">
        <v>1780</v>
      </c>
      <c r="C120">
        <v>115</v>
      </c>
      <c r="H120">
        <v>39.43</v>
      </c>
      <c r="I120">
        <v>-4.2</v>
      </c>
      <c r="K120" t="s">
        <v>38</v>
      </c>
      <c r="M120" t="s">
        <v>310</v>
      </c>
      <c r="N120" t="s">
        <v>27</v>
      </c>
      <c r="P120" t="s">
        <v>39</v>
      </c>
      <c r="R120" t="s">
        <v>302</v>
      </c>
      <c r="S120" s="7" t="s">
        <v>301</v>
      </c>
      <c r="T120" t="s">
        <v>316</v>
      </c>
    </row>
    <row r="121" spans="1:20" x14ac:dyDescent="0.3">
      <c r="A121" t="s">
        <v>313</v>
      </c>
      <c r="B121">
        <v>1680</v>
      </c>
      <c r="C121">
        <v>110</v>
      </c>
      <c r="D121" t="s">
        <v>25</v>
      </c>
      <c r="H121">
        <v>39.43</v>
      </c>
      <c r="I121">
        <v>-4.2</v>
      </c>
      <c r="K121" t="s">
        <v>38</v>
      </c>
      <c r="M121" t="s">
        <v>315</v>
      </c>
      <c r="N121" t="s">
        <v>27</v>
      </c>
      <c r="P121" t="s">
        <v>39</v>
      </c>
      <c r="R121" t="s">
        <v>302</v>
      </c>
      <c r="S121" s="7" t="s">
        <v>301</v>
      </c>
      <c r="T121" t="s">
        <v>318</v>
      </c>
    </row>
    <row r="122" spans="1:20" x14ac:dyDescent="0.3">
      <c r="A122" t="s">
        <v>314</v>
      </c>
      <c r="B122">
        <v>1690</v>
      </c>
      <c r="C122">
        <v>110</v>
      </c>
      <c r="D122" t="s">
        <v>25</v>
      </c>
      <c r="H122">
        <v>39.43</v>
      </c>
      <c r="I122">
        <v>-4.2</v>
      </c>
      <c r="K122" t="s">
        <v>38</v>
      </c>
      <c r="M122" t="s">
        <v>315</v>
      </c>
      <c r="N122" t="s">
        <v>27</v>
      </c>
      <c r="P122" t="s">
        <v>39</v>
      </c>
      <c r="R122" t="s">
        <v>302</v>
      </c>
      <c r="S122" s="7" t="s">
        <v>301</v>
      </c>
      <c r="T122" t="s">
        <v>317</v>
      </c>
    </row>
    <row r="123" spans="1:20" x14ac:dyDescent="0.3">
      <c r="A123" t="s">
        <v>323</v>
      </c>
      <c r="B123">
        <v>1730</v>
      </c>
      <c r="C123">
        <v>115</v>
      </c>
      <c r="D123" t="s">
        <v>25</v>
      </c>
      <c r="H123">
        <v>38</v>
      </c>
      <c r="I123">
        <v>-4.2670000000000003</v>
      </c>
      <c r="K123" t="s">
        <v>38</v>
      </c>
      <c r="M123" t="s">
        <v>320</v>
      </c>
      <c r="N123" t="s">
        <v>128</v>
      </c>
      <c r="P123" t="s">
        <v>39</v>
      </c>
      <c r="Q123" t="s">
        <v>49</v>
      </c>
      <c r="R123" t="s">
        <v>328</v>
      </c>
      <c r="S123" s="7" t="s">
        <v>327</v>
      </c>
      <c r="T123" t="s">
        <v>325</v>
      </c>
    </row>
    <row r="124" spans="1:20" x14ac:dyDescent="0.3">
      <c r="A124" t="s">
        <v>324</v>
      </c>
      <c r="B124">
        <v>1060</v>
      </c>
      <c r="C124">
        <v>110</v>
      </c>
      <c r="D124" t="s">
        <v>25</v>
      </c>
      <c r="H124">
        <v>38</v>
      </c>
      <c r="I124">
        <v>-4.2670000000000003</v>
      </c>
      <c r="K124" t="s">
        <v>38</v>
      </c>
      <c r="M124" t="s">
        <v>321</v>
      </c>
      <c r="N124" t="s">
        <v>128</v>
      </c>
      <c r="P124" t="s">
        <v>39</v>
      </c>
      <c r="R124" t="s">
        <v>328</v>
      </c>
      <c r="S124" s="7" t="s">
        <v>327</v>
      </c>
      <c r="T124" t="s">
        <v>322</v>
      </c>
    </row>
    <row r="125" spans="1:20" x14ac:dyDescent="0.3">
      <c r="A125" s="3" t="s">
        <v>330</v>
      </c>
      <c r="B125" s="3">
        <v>1590</v>
      </c>
      <c r="C125" s="3">
        <v>120</v>
      </c>
      <c r="D125" s="3" t="s">
        <v>25</v>
      </c>
      <c r="E125" s="3"/>
      <c r="F125" s="3"/>
      <c r="G125" s="3"/>
      <c r="H125" s="3">
        <v>39.049999999999997</v>
      </c>
      <c r="I125" s="3">
        <v>-5.0670000000000002</v>
      </c>
      <c r="J125" s="3"/>
      <c r="K125" s="3" t="s">
        <v>38</v>
      </c>
      <c r="L125" s="3"/>
      <c r="M125" s="3" t="s">
        <v>329</v>
      </c>
      <c r="N125" s="3" t="s">
        <v>128</v>
      </c>
      <c r="O125" s="3"/>
      <c r="P125" s="3" t="s">
        <v>39</v>
      </c>
      <c r="Q125" s="3" t="s">
        <v>49</v>
      </c>
      <c r="R125" s="3" t="s">
        <v>328</v>
      </c>
      <c r="S125" s="9" t="s">
        <v>327</v>
      </c>
      <c r="T125" t="s">
        <v>331</v>
      </c>
    </row>
    <row r="126" spans="1:20" x14ac:dyDescent="0.3">
      <c r="A126" t="s">
        <v>336</v>
      </c>
      <c r="B126">
        <v>1240</v>
      </c>
      <c r="C126">
        <v>100</v>
      </c>
      <c r="H126">
        <v>31.1</v>
      </c>
      <c r="I126">
        <v>-17.829999999999998</v>
      </c>
      <c r="K126" t="s">
        <v>38</v>
      </c>
      <c r="M126" t="s">
        <v>332</v>
      </c>
      <c r="N126" t="s">
        <v>178</v>
      </c>
      <c r="P126" t="s">
        <v>39</v>
      </c>
      <c r="Q126" t="s">
        <v>49</v>
      </c>
      <c r="R126" t="s">
        <v>334</v>
      </c>
      <c r="S126" s="7" t="s">
        <v>335</v>
      </c>
    </row>
    <row r="127" spans="1:20" x14ac:dyDescent="0.3">
      <c r="A127" t="s">
        <v>337</v>
      </c>
      <c r="B127">
        <v>970</v>
      </c>
      <c r="C127">
        <v>100</v>
      </c>
      <c r="H127">
        <v>31.1</v>
      </c>
      <c r="I127">
        <v>-17.829999999999998</v>
      </c>
      <c r="K127" t="s">
        <v>38</v>
      </c>
      <c r="M127" t="s">
        <v>332</v>
      </c>
      <c r="N127" t="s">
        <v>178</v>
      </c>
      <c r="P127" t="s">
        <v>39</v>
      </c>
      <c r="Q127" t="s">
        <v>49</v>
      </c>
      <c r="R127" t="s">
        <v>334</v>
      </c>
      <c r="S127" s="7" t="s">
        <v>335</v>
      </c>
    </row>
    <row r="128" spans="1:20" x14ac:dyDescent="0.3">
      <c r="A128" t="s">
        <v>338</v>
      </c>
      <c r="B128">
        <v>1260</v>
      </c>
      <c r="C128">
        <v>65</v>
      </c>
      <c r="H128">
        <v>29.966999999999999</v>
      </c>
      <c r="I128">
        <v>-20.317</v>
      </c>
      <c r="K128" t="s">
        <v>38</v>
      </c>
      <c r="M128" t="s">
        <v>340</v>
      </c>
      <c r="N128" t="s">
        <v>178</v>
      </c>
      <c r="P128" t="s">
        <v>39</v>
      </c>
      <c r="R128" t="s">
        <v>334</v>
      </c>
      <c r="S128" s="7" t="s">
        <v>335</v>
      </c>
      <c r="T128" t="s">
        <v>339</v>
      </c>
    </row>
    <row r="129" spans="1:20" x14ac:dyDescent="0.3">
      <c r="A129" t="s">
        <v>350</v>
      </c>
      <c r="B129">
        <v>540</v>
      </c>
      <c r="C129">
        <v>110</v>
      </c>
      <c r="D129" t="s">
        <v>25</v>
      </c>
      <c r="H129">
        <v>32.479999999999997</v>
      </c>
      <c r="I129">
        <v>-8.43</v>
      </c>
      <c r="K129" t="s">
        <v>38</v>
      </c>
      <c r="M129" t="s">
        <v>349</v>
      </c>
      <c r="N129" t="s">
        <v>128</v>
      </c>
      <c r="P129" t="s">
        <v>39</v>
      </c>
      <c r="Q129" t="s">
        <v>49</v>
      </c>
      <c r="R129" t="s">
        <v>346</v>
      </c>
      <c r="S129" s="7" t="s">
        <v>345</v>
      </c>
      <c r="T129" t="s">
        <v>354</v>
      </c>
    </row>
    <row r="130" spans="1:20" x14ac:dyDescent="0.3">
      <c r="A130" t="s">
        <v>351</v>
      </c>
      <c r="B130">
        <v>590</v>
      </c>
      <c r="C130">
        <v>115</v>
      </c>
      <c r="D130" t="s">
        <v>25</v>
      </c>
      <c r="H130">
        <v>32.479999999999997</v>
      </c>
      <c r="I130">
        <v>-8.43</v>
      </c>
      <c r="K130" t="s">
        <v>38</v>
      </c>
      <c r="M130" t="s">
        <v>349</v>
      </c>
      <c r="N130" t="s">
        <v>128</v>
      </c>
      <c r="P130" t="s">
        <v>39</v>
      </c>
      <c r="Q130" t="s">
        <v>49</v>
      </c>
      <c r="R130" t="s">
        <v>346</v>
      </c>
      <c r="S130" s="7" t="s">
        <v>345</v>
      </c>
      <c r="T130" t="s">
        <v>354</v>
      </c>
    </row>
    <row r="131" spans="1:20" x14ac:dyDescent="0.3">
      <c r="A131" t="s">
        <v>352</v>
      </c>
      <c r="B131">
        <v>715</v>
      </c>
      <c r="C131">
        <v>110</v>
      </c>
      <c r="D131" t="s">
        <v>25</v>
      </c>
      <c r="H131">
        <v>32.479999999999997</v>
      </c>
      <c r="I131">
        <v>-8.43</v>
      </c>
      <c r="K131" t="s">
        <v>38</v>
      </c>
      <c r="M131" t="s">
        <v>349</v>
      </c>
      <c r="N131" t="s">
        <v>128</v>
      </c>
      <c r="P131" t="s">
        <v>39</v>
      </c>
      <c r="Q131" t="s">
        <v>49</v>
      </c>
      <c r="R131" t="s">
        <v>346</v>
      </c>
      <c r="S131" s="7" t="s">
        <v>345</v>
      </c>
      <c r="T131" t="s">
        <v>354</v>
      </c>
    </row>
    <row r="132" spans="1:20" x14ac:dyDescent="0.3">
      <c r="A132" t="s">
        <v>353</v>
      </c>
      <c r="B132">
        <v>735</v>
      </c>
      <c r="C132">
        <v>110</v>
      </c>
      <c r="D132" t="s">
        <v>25</v>
      </c>
      <c r="H132">
        <v>32.479999999999997</v>
      </c>
      <c r="I132">
        <v>-8.43</v>
      </c>
      <c r="K132" t="s">
        <v>38</v>
      </c>
      <c r="M132" t="s">
        <v>349</v>
      </c>
      <c r="N132" t="s">
        <v>128</v>
      </c>
      <c r="P132" t="s">
        <v>39</v>
      </c>
      <c r="Q132" t="s">
        <v>49</v>
      </c>
      <c r="R132" t="s">
        <v>346</v>
      </c>
      <c r="S132" s="7" t="s">
        <v>345</v>
      </c>
      <c r="T132" t="s">
        <v>354</v>
      </c>
    </row>
    <row r="133" spans="1:20" x14ac:dyDescent="0.3">
      <c r="A133" t="s">
        <v>361</v>
      </c>
      <c r="B133">
        <v>1730</v>
      </c>
      <c r="C133">
        <v>130</v>
      </c>
      <c r="H133">
        <v>37.25</v>
      </c>
      <c r="I133">
        <v>-1</v>
      </c>
      <c r="K133" t="s">
        <v>38</v>
      </c>
      <c r="M133" t="s">
        <v>360</v>
      </c>
      <c r="N133" t="s">
        <v>27</v>
      </c>
      <c r="P133" t="s">
        <v>39</v>
      </c>
      <c r="Q133" t="s">
        <v>49</v>
      </c>
      <c r="R133" t="s">
        <v>358</v>
      </c>
      <c r="S133" s="7" t="s">
        <v>359</v>
      </c>
      <c r="T133" t="s">
        <v>357</v>
      </c>
    </row>
    <row r="134" spans="1:20" x14ac:dyDescent="0.3">
      <c r="A134" t="s">
        <v>362</v>
      </c>
      <c r="B134">
        <v>1760</v>
      </c>
      <c r="C134">
        <v>120</v>
      </c>
      <c r="H134">
        <v>37.25</v>
      </c>
      <c r="I134">
        <v>-1</v>
      </c>
      <c r="K134" t="s">
        <v>38</v>
      </c>
      <c r="M134" t="s">
        <v>360</v>
      </c>
      <c r="N134" t="s">
        <v>27</v>
      </c>
      <c r="P134" t="s">
        <v>39</v>
      </c>
      <c r="Q134" t="s">
        <v>49</v>
      </c>
      <c r="R134" t="s">
        <v>358</v>
      </c>
      <c r="S134" s="7" t="s">
        <v>359</v>
      </c>
      <c r="T134" t="s">
        <v>357</v>
      </c>
    </row>
    <row r="135" spans="1:20" x14ac:dyDescent="0.3">
      <c r="A135" t="s">
        <v>365</v>
      </c>
      <c r="B135">
        <v>1630</v>
      </c>
      <c r="C135">
        <v>155</v>
      </c>
      <c r="H135">
        <v>37.770000000000003</v>
      </c>
      <c r="I135">
        <v>0.42</v>
      </c>
      <c r="K135" t="s">
        <v>38</v>
      </c>
      <c r="M135" t="s">
        <v>364</v>
      </c>
      <c r="N135" t="s">
        <v>27</v>
      </c>
      <c r="P135" t="s">
        <v>39</v>
      </c>
      <c r="Q135" t="s">
        <v>49</v>
      </c>
      <c r="R135" t="s">
        <v>358</v>
      </c>
      <c r="S135" s="7" t="s">
        <v>359</v>
      </c>
      <c r="T135" t="s">
        <v>363</v>
      </c>
    </row>
    <row r="136" spans="1:20" x14ac:dyDescent="0.3">
      <c r="A136" t="s">
        <v>367</v>
      </c>
      <c r="B136">
        <v>1760</v>
      </c>
      <c r="C136">
        <v>160</v>
      </c>
      <c r="H136">
        <v>34.25</v>
      </c>
      <c r="I136">
        <v>0.33</v>
      </c>
      <c r="K136" t="s">
        <v>38</v>
      </c>
      <c r="M136" t="s">
        <v>366</v>
      </c>
      <c r="N136" t="s">
        <v>27</v>
      </c>
      <c r="P136" t="s">
        <v>39</v>
      </c>
      <c r="Q136" t="s">
        <v>49</v>
      </c>
      <c r="R136" t="s">
        <v>358</v>
      </c>
      <c r="S136" s="7" t="s">
        <v>359</v>
      </c>
      <c r="T136" t="s">
        <v>368</v>
      </c>
    </row>
    <row r="137" spans="1:20" x14ac:dyDescent="0.3">
      <c r="A137" t="s">
        <v>371</v>
      </c>
      <c r="B137">
        <v>930</v>
      </c>
      <c r="C137">
        <v>50</v>
      </c>
      <c r="H137">
        <v>29.58</v>
      </c>
      <c r="I137">
        <v>-13.97</v>
      </c>
      <c r="K137" t="s">
        <v>38</v>
      </c>
      <c r="M137" t="s">
        <v>369</v>
      </c>
      <c r="N137" t="s">
        <v>163</v>
      </c>
      <c r="P137" t="s">
        <v>39</v>
      </c>
      <c r="Q137" t="s">
        <v>49</v>
      </c>
      <c r="R137" t="s">
        <v>358</v>
      </c>
      <c r="S137" s="7" t="s">
        <v>359</v>
      </c>
      <c r="T137" t="s">
        <v>370</v>
      </c>
    </row>
    <row r="138" spans="1:20" x14ac:dyDescent="0.3">
      <c r="A138" t="s">
        <v>372</v>
      </c>
      <c r="B138">
        <v>2169</v>
      </c>
      <c r="C138">
        <v>50</v>
      </c>
      <c r="H138">
        <v>29.58</v>
      </c>
      <c r="I138">
        <v>-13.97</v>
      </c>
      <c r="K138" t="s">
        <v>38</v>
      </c>
      <c r="M138" t="s">
        <v>369</v>
      </c>
      <c r="N138" t="s">
        <v>163</v>
      </c>
      <c r="P138" t="s">
        <v>39</v>
      </c>
      <c r="Q138" t="s">
        <v>49</v>
      </c>
      <c r="R138" t="s">
        <v>358</v>
      </c>
      <c r="S138" s="7" t="s">
        <v>359</v>
      </c>
      <c r="T138" t="s">
        <v>370</v>
      </c>
    </row>
    <row r="139" spans="1:20" x14ac:dyDescent="0.3">
      <c r="A139" s="3" t="s">
        <v>375</v>
      </c>
      <c r="B139" s="3">
        <v>1780</v>
      </c>
      <c r="C139" s="3">
        <v>80</v>
      </c>
      <c r="D139" s="3"/>
      <c r="E139" s="3"/>
      <c r="F139" s="3"/>
      <c r="G139" s="3"/>
      <c r="H139" s="3">
        <v>35.33</v>
      </c>
      <c r="I139" s="3">
        <v>-3.5</v>
      </c>
      <c r="J139" s="3"/>
      <c r="K139" s="3" t="s">
        <v>38</v>
      </c>
      <c r="L139" s="3"/>
      <c r="M139" s="3" t="s">
        <v>373</v>
      </c>
      <c r="N139" s="3" t="s">
        <v>128</v>
      </c>
      <c r="O139" s="3"/>
      <c r="P139" s="3" t="s">
        <v>39</v>
      </c>
      <c r="Q139" s="3" t="s">
        <v>49</v>
      </c>
      <c r="R139" s="3" t="s">
        <v>358</v>
      </c>
      <c r="S139" s="9" t="s">
        <v>359</v>
      </c>
      <c r="T139" t="s">
        <v>374</v>
      </c>
    </row>
    <row r="140" spans="1:20" x14ac:dyDescent="0.3">
      <c r="A140" t="s">
        <v>376</v>
      </c>
      <c r="B140">
        <v>1770</v>
      </c>
      <c r="C140">
        <v>70</v>
      </c>
      <c r="H140">
        <v>28.6</v>
      </c>
      <c r="I140">
        <v>-14.28</v>
      </c>
      <c r="K140" t="s">
        <v>38</v>
      </c>
      <c r="M140" t="s">
        <v>384</v>
      </c>
      <c r="N140" t="s">
        <v>163</v>
      </c>
      <c r="P140" t="s">
        <v>39</v>
      </c>
      <c r="Q140" t="s">
        <v>49</v>
      </c>
      <c r="R140" t="s">
        <v>88</v>
      </c>
      <c r="S140" s="2" t="s">
        <v>87</v>
      </c>
      <c r="T140" t="s">
        <v>383</v>
      </c>
    </row>
    <row r="141" spans="1:20" x14ac:dyDescent="0.3">
      <c r="A141" t="s">
        <v>377</v>
      </c>
      <c r="B141">
        <v>1590</v>
      </c>
      <c r="C141">
        <v>70</v>
      </c>
      <c r="H141">
        <v>28.6</v>
      </c>
      <c r="I141">
        <v>-14.28</v>
      </c>
      <c r="K141" t="s">
        <v>38</v>
      </c>
      <c r="M141" t="s">
        <v>384</v>
      </c>
      <c r="N141" t="s">
        <v>163</v>
      </c>
      <c r="P141" t="s">
        <v>39</v>
      </c>
      <c r="Q141" t="s">
        <v>49</v>
      </c>
      <c r="R141" t="s">
        <v>88</v>
      </c>
      <c r="S141" s="2" t="s">
        <v>87</v>
      </c>
      <c r="T141" t="s">
        <v>383</v>
      </c>
    </row>
    <row r="142" spans="1:20" x14ac:dyDescent="0.3">
      <c r="A142" t="s">
        <v>378</v>
      </c>
      <c r="B142">
        <v>1810</v>
      </c>
      <c r="C142">
        <v>80</v>
      </c>
      <c r="H142">
        <v>28.6</v>
      </c>
      <c r="I142">
        <v>-14.28</v>
      </c>
      <c r="K142" t="s">
        <v>38</v>
      </c>
      <c r="M142" t="s">
        <v>384</v>
      </c>
      <c r="N142" t="s">
        <v>163</v>
      </c>
      <c r="P142" t="s">
        <v>39</v>
      </c>
      <c r="Q142" t="s">
        <v>49</v>
      </c>
      <c r="R142" t="s">
        <v>88</v>
      </c>
      <c r="S142" s="2" t="s">
        <v>87</v>
      </c>
      <c r="T142" t="s">
        <v>383</v>
      </c>
    </row>
    <row r="143" spans="1:20" x14ac:dyDescent="0.3">
      <c r="A143" t="s">
        <v>379</v>
      </c>
      <c r="B143">
        <v>1470</v>
      </c>
      <c r="C143">
        <v>90</v>
      </c>
      <c r="H143">
        <v>28.6</v>
      </c>
      <c r="I143">
        <v>-14.28</v>
      </c>
      <c r="K143" t="s">
        <v>38</v>
      </c>
      <c r="M143" t="s">
        <v>384</v>
      </c>
      <c r="N143" t="s">
        <v>163</v>
      </c>
      <c r="P143" t="s">
        <v>39</v>
      </c>
      <c r="Q143" t="s">
        <v>49</v>
      </c>
      <c r="R143" t="s">
        <v>88</v>
      </c>
      <c r="S143" s="2" t="s">
        <v>87</v>
      </c>
      <c r="T143" t="s">
        <v>383</v>
      </c>
    </row>
    <row r="144" spans="1:20" x14ac:dyDescent="0.3">
      <c r="A144" t="s">
        <v>380</v>
      </c>
      <c r="B144">
        <v>2029</v>
      </c>
      <c r="C144">
        <v>90</v>
      </c>
      <c r="H144">
        <v>28.6</v>
      </c>
      <c r="I144">
        <v>-14.28</v>
      </c>
      <c r="K144" t="s">
        <v>38</v>
      </c>
      <c r="M144" t="s">
        <v>384</v>
      </c>
      <c r="N144" t="s">
        <v>163</v>
      </c>
      <c r="P144" t="s">
        <v>39</v>
      </c>
      <c r="Q144" t="s">
        <v>49</v>
      </c>
      <c r="R144" t="s">
        <v>88</v>
      </c>
      <c r="S144" s="2" t="s">
        <v>87</v>
      </c>
      <c r="T144" t="s">
        <v>383</v>
      </c>
    </row>
    <row r="145" spans="1:20" x14ac:dyDescent="0.3">
      <c r="A145" t="s">
        <v>381</v>
      </c>
      <c r="B145">
        <v>1530</v>
      </c>
      <c r="C145">
        <v>70</v>
      </c>
      <c r="H145">
        <v>28.6</v>
      </c>
      <c r="I145">
        <v>-14.28</v>
      </c>
      <c r="K145" t="s">
        <v>38</v>
      </c>
      <c r="M145" t="s">
        <v>384</v>
      </c>
      <c r="N145" t="s">
        <v>163</v>
      </c>
      <c r="P145" t="s">
        <v>39</v>
      </c>
      <c r="Q145" t="s">
        <v>49</v>
      </c>
      <c r="R145" t="s">
        <v>88</v>
      </c>
      <c r="S145" s="2" t="s">
        <v>87</v>
      </c>
      <c r="T145" t="s">
        <v>383</v>
      </c>
    </row>
    <row r="146" spans="1:20" x14ac:dyDescent="0.3">
      <c r="A146" t="s">
        <v>382</v>
      </c>
      <c r="B146">
        <v>2039</v>
      </c>
      <c r="C146">
        <v>70</v>
      </c>
      <c r="H146">
        <v>28.6</v>
      </c>
      <c r="I146">
        <v>-14.28</v>
      </c>
      <c r="K146" t="s">
        <v>38</v>
      </c>
      <c r="M146" t="s">
        <v>384</v>
      </c>
      <c r="N146" t="s">
        <v>163</v>
      </c>
      <c r="P146" t="s">
        <v>39</v>
      </c>
      <c r="Q146" t="s">
        <v>49</v>
      </c>
      <c r="R146" t="s">
        <v>88</v>
      </c>
      <c r="S146" s="2" t="s">
        <v>87</v>
      </c>
      <c r="T146" t="s">
        <v>383</v>
      </c>
    </row>
    <row r="147" spans="1:20" x14ac:dyDescent="0.3">
      <c r="A147" t="s">
        <v>385</v>
      </c>
      <c r="B147">
        <v>2329</v>
      </c>
      <c r="C147">
        <v>65</v>
      </c>
      <c r="H147">
        <v>24.12</v>
      </c>
      <c r="I147">
        <v>-17.2</v>
      </c>
      <c r="K147" t="s">
        <v>38</v>
      </c>
      <c r="M147" t="s">
        <v>389</v>
      </c>
      <c r="N147" t="s">
        <v>163</v>
      </c>
      <c r="P147" t="s">
        <v>39</v>
      </c>
      <c r="Q147" t="s">
        <v>49</v>
      </c>
      <c r="R147" t="s">
        <v>88</v>
      </c>
      <c r="S147" s="2" t="s">
        <v>87</v>
      </c>
    </row>
    <row r="148" spans="1:20" x14ac:dyDescent="0.3">
      <c r="A148" t="s">
        <v>386</v>
      </c>
      <c r="B148">
        <v>1110</v>
      </c>
      <c r="C148">
        <v>80</v>
      </c>
      <c r="H148">
        <v>24.12</v>
      </c>
      <c r="I148">
        <v>-17.2</v>
      </c>
      <c r="K148" t="s">
        <v>38</v>
      </c>
      <c r="M148" t="s">
        <v>389</v>
      </c>
      <c r="N148" t="s">
        <v>163</v>
      </c>
      <c r="P148" t="s">
        <v>39</v>
      </c>
      <c r="Q148" t="s">
        <v>49</v>
      </c>
      <c r="R148" t="s">
        <v>88</v>
      </c>
      <c r="S148" s="2" t="s">
        <v>87</v>
      </c>
    </row>
    <row r="149" spans="1:20" x14ac:dyDescent="0.3">
      <c r="A149" t="s">
        <v>387</v>
      </c>
      <c r="B149">
        <v>1300</v>
      </c>
      <c r="C149">
        <v>75</v>
      </c>
      <c r="H149">
        <v>24.12</v>
      </c>
      <c r="I149">
        <v>-17.2</v>
      </c>
      <c r="K149" t="s">
        <v>38</v>
      </c>
      <c r="M149" t="s">
        <v>389</v>
      </c>
      <c r="N149" t="s">
        <v>163</v>
      </c>
      <c r="P149" t="s">
        <v>39</v>
      </c>
      <c r="Q149" t="s">
        <v>49</v>
      </c>
      <c r="R149" t="s">
        <v>88</v>
      </c>
      <c r="S149" s="2" t="s">
        <v>87</v>
      </c>
    </row>
    <row r="150" spans="1:20" x14ac:dyDescent="0.3">
      <c r="A150" t="s">
        <v>388</v>
      </c>
      <c r="B150">
        <v>1420</v>
      </c>
      <c r="C150">
        <v>95</v>
      </c>
      <c r="H150">
        <v>24.12</v>
      </c>
      <c r="I150">
        <v>-17.2</v>
      </c>
      <c r="K150" t="s">
        <v>38</v>
      </c>
      <c r="M150" t="s">
        <v>389</v>
      </c>
      <c r="N150" t="s">
        <v>163</v>
      </c>
      <c r="P150" t="s">
        <v>39</v>
      </c>
      <c r="Q150" t="s">
        <v>49</v>
      </c>
      <c r="R150" t="s">
        <v>88</v>
      </c>
      <c r="S150" s="2" t="s">
        <v>87</v>
      </c>
    </row>
    <row r="151" spans="1:20" x14ac:dyDescent="0.3">
      <c r="A151" t="s">
        <v>396</v>
      </c>
      <c r="B151">
        <v>1310</v>
      </c>
      <c r="C151">
        <v>50</v>
      </c>
      <c r="H151">
        <v>29.68</v>
      </c>
      <c r="I151">
        <v>-16.87</v>
      </c>
      <c r="K151" t="s">
        <v>38</v>
      </c>
      <c r="M151" t="s">
        <v>397</v>
      </c>
      <c r="N151" t="s">
        <v>178</v>
      </c>
      <c r="P151" t="s">
        <v>39</v>
      </c>
      <c r="Q151" t="s">
        <v>49</v>
      </c>
      <c r="R151" t="s">
        <v>391</v>
      </c>
      <c r="S151" s="2" t="s">
        <v>392</v>
      </c>
      <c r="T151" t="s">
        <v>395</v>
      </c>
    </row>
    <row r="152" spans="1:20" x14ac:dyDescent="0.3">
      <c r="A152" t="s">
        <v>399</v>
      </c>
      <c r="B152">
        <v>1700</v>
      </c>
      <c r="C152">
        <v>330</v>
      </c>
      <c r="H152">
        <v>37.58</v>
      </c>
      <c r="I152">
        <v>-3.27</v>
      </c>
      <c r="K152" t="s">
        <v>38</v>
      </c>
      <c r="M152" t="s">
        <v>398</v>
      </c>
      <c r="N152" t="s">
        <v>128</v>
      </c>
      <c r="P152" t="s">
        <v>39</v>
      </c>
      <c r="Q152" t="s">
        <v>49</v>
      </c>
      <c r="R152" t="s">
        <v>400</v>
      </c>
      <c r="S152" s="7" t="s">
        <v>401</v>
      </c>
      <c r="T152" t="s">
        <v>402</v>
      </c>
    </row>
    <row r="153" spans="1:20" x14ac:dyDescent="0.3">
      <c r="A153" t="s">
        <v>410</v>
      </c>
      <c r="B153">
        <v>2100</v>
      </c>
      <c r="C153">
        <v>80</v>
      </c>
      <c r="H153">
        <v>33.880000000000003</v>
      </c>
      <c r="I153">
        <v>-9.9499999999999993</v>
      </c>
      <c r="K153" t="s">
        <v>38</v>
      </c>
      <c r="M153" t="s">
        <v>409</v>
      </c>
      <c r="N153" t="s">
        <v>90</v>
      </c>
      <c r="P153" t="s">
        <v>39</v>
      </c>
      <c r="Q153" t="s">
        <v>49</v>
      </c>
      <c r="R153" t="s">
        <v>405</v>
      </c>
      <c r="S153" s="7" t="s">
        <v>406</v>
      </c>
      <c r="T153" t="s">
        <v>407</v>
      </c>
    </row>
    <row r="154" spans="1:20" x14ac:dyDescent="0.3">
      <c r="A154" t="s">
        <v>411</v>
      </c>
      <c r="B154">
        <v>150</v>
      </c>
      <c r="C154">
        <v>60</v>
      </c>
      <c r="H154">
        <v>33.880000000000003</v>
      </c>
      <c r="I154">
        <v>-9.9499999999999993</v>
      </c>
      <c r="K154" t="s">
        <v>38</v>
      </c>
      <c r="M154" t="s">
        <v>409</v>
      </c>
      <c r="N154" t="s">
        <v>90</v>
      </c>
      <c r="P154" t="s">
        <v>39</v>
      </c>
      <c r="Q154" t="s">
        <v>49</v>
      </c>
      <c r="R154" t="s">
        <v>405</v>
      </c>
      <c r="S154" s="7" t="s">
        <v>406</v>
      </c>
      <c r="T154" t="s">
        <v>408</v>
      </c>
    </row>
    <row r="155" spans="1:20" x14ac:dyDescent="0.3">
      <c r="A155" t="s">
        <v>412</v>
      </c>
      <c r="B155">
        <v>1529</v>
      </c>
      <c r="C155">
        <v>110</v>
      </c>
      <c r="H155">
        <v>25.53</v>
      </c>
      <c r="I155">
        <v>-17.62</v>
      </c>
      <c r="K155" t="s">
        <v>38</v>
      </c>
      <c r="M155" t="s">
        <v>418</v>
      </c>
      <c r="N155" t="s">
        <v>163</v>
      </c>
      <c r="P155" t="s">
        <v>39</v>
      </c>
      <c r="Q155" t="s">
        <v>49</v>
      </c>
      <c r="R155" t="s">
        <v>405</v>
      </c>
      <c r="S155" s="7" t="s">
        <v>406</v>
      </c>
      <c r="T155" s="10" t="s">
        <v>419</v>
      </c>
    </row>
    <row r="156" spans="1:20" x14ac:dyDescent="0.3">
      <c r="A156" t="s">
        <v>413</v>
      </c>
      <c r="B156">
        <v>1390</v>
      </c>
      <c r="C156">
        <v>110</v>
      </c>
      <c r="H156">
        <v>25.53</v>
      </c>
      <c r="I156">
        <v>-17.62</v>
      </c>
      <c r="K156" t="s">
        <v>38</v>
      </c>
      <c r="M156" t="s">
        <v>418</v>
      </c>
      <c r="N156" t="s">
        <v>163</v>
      </c>
      <c r="P156" t="s">
        <v>39</v>
      </c>
      <c r="Q156" t="s">
        <v>49</v>
      </c>
      <c r="R156" t="s">
        <v>405</v>
      </c>
      <c r="S156" s="7" t="s">
        <v>406</v>
      </c>
      <c r="T156" s="10" t="s">
        <v>419</v>
      </c>
    </row>
    <row r="157" spans="1:20" x14ac:dyDescent="0.3">
      <c r="A157" t="s">
        <v>414</v>
      </c>
      <c r="B157">
        <v>1400</v>
      </c>
      <c r="C157">
        <v>110</v>
      </c>
      <c r="H157">
        <v>25.53</v>
      </c>
      <c r="I157">
        <v>-17.62</v>
      </c>
      <c r="K157" t="s">
        <v>38</v>
      </c>
      <c r="M157" t="s">
        <v>418</v>
      </c>
      <c r="N157" t="s">
        <v>163</v>
      </c>
      <c r="P157" t="s">
        <v>39</v>
      </c>
      <c r="Q157" t="s">
        <v>49</v>
      </c>
      <c r="R157" t="s">
        <v>405</v>
      </c>
      <c r="S157" s="7" t="s">
        <v>406</v>
      </c>
      <c r="T157" s="10" t="s">
        <v>419</v>
      </c>
    </row>
    <row r="158" spans="1:20" x14ac:dyDescent="0.3">
      <c r="A158" t="s">
        <v>415</v>
      </c>
      <c r="B158">
        <v>1330</v>
      </c>
      <c r="C158">
        <v>110</v>
      </c>
      <c r="H158">
        <v>25.53</v>
      </c>
      <c r="I158">
        <v>-17.62</v>
      </c>
      <c r="K158" t="s">
        <v>38</v>
      </c>
      <c r="M158" t="s">
        <v>418</v>
      </c>
      <c r="N158" t="s">
        <v>163</v>
      </c>
      <c r="P158" t="s">
        <v>39</v>
      </c>
      <c r="Q158" t="s">
        <v>49</v>
      </c>
      <c r="R158" t="s">
        <v>405</v>
      </c>
      <c r="S158" s="7" t="s">
        <v>406</v>
      </c>
      <c r="T158" s="10" t="s">
        <v>419</v>
      </c>
    </row>
    <row r="159" spans="1:20" x14ac:dyDescent="0.3">
      <c r="A159" t="s">
        <v>416</v>
      </c>
      <c r="B159">
        <v>1320</v>
      </c>
      <c r="C159">
        <v>110</v>
      </c>
      <c r="H159">
        <v>25.53</v>
      </c>
      <c r="I159">
        <v>-17.62</v>
      </c>
      <c r="K159" t="s">
        <v>38</v>
      </c>
      <c r="M159" t="s">
        <v>418</v>
      </c>
      <c r="N159" t="s">
        <v>163</v>
      </c>
      <c r="P159" t="s">
        <v>39</v>
      </c>
      <c r="Q159" t="s">
        <v>49</v>
      </c>
      <c r="R159" t="s">
        <v>405</v>
      </c>
      <c r="S159" s="7" t="s">
        <v>406</v>
      </c>
      <c r="T159" s="10" t="s">
        <v>419</v>
      </c>
    </row>
    <row r="160" spans="1:20" x14ac:dyDescent="0.3">
      <c r="A160" t="s">
        <v>417</v>
      </c>
      <c r="B160">
        <v>1260</v>
      </c>
      <c r="C160">
        <v>105</v>
      </c>
      <c r="H160">
        <v>25.53</v>
      </c>
      <c r="I160">
        <v>-17.62</v>
      </c>
      <c r="K160" t="s">
        <v>38</v>
      </c>
      <c r="M160" t="s">
        <v>418</v>
      </c>
      <c r="N160" t="s">
        <v>163</v>
      </c>
      <c r="P160" t="s">
        <v>39</v>
      </c>
      <c r="Q160" t="s">
        <v>49</v>
      </c>
      <c r="R160" t="s">
        <v>405</v>
      </c>
      <c r="S160" s="7" t="s">
        <v>406</v>
      </c>
      <c r="T160" s="10" t="s">
        <v>419</v>
      </c>
    </row>
    <row r="161" spans="1:21" x14ac:dyDescent="0.3">
      <c r="A161" t="s">
        <v>423</v>
      </c>
      <c r="B161">
        <v>1670</v>
      </c>
      <c r="C161">
        <v>40</v>
      </c>
      <c r="D161" t="s">
        <v>25</v>
      </c>
      <c r="H161">
        <v>31.203199999999999</v>
      </c>
      <c r="I161">
        <v>-18.206499999999998</v>
      </c>
      <c r="K161" t="s">
        <v>38</v>
      </c>
      <c r="M161" t="s">
        <v>420</v>
      </c>
      <c r="N161" t="s">
        <v>163</v>
      </c>
      <c r="P161" t="s">
        <v>39</v>
      </c>
      <c r="Q161" t="s">
        <v>49</v>
      </c>
      <c r="R161" t="s">
        <v>421</v>
      </c>
      <c r="S161" s="2" t="s">
        <v>422</v>
      </c>
    </row>
    <row r="162" spans="1:21" x14ac:dyDescent="0.3">
      <c r="A162" t="s">
        <v>424</v>
      </c>
      <c r="B162">
        <v>1340</v>
      </c>
      <c r="C162">
        <v>40</v>
      </c>
      <c r="D162" t="s">
        <v>25</v>
      </c>
      <c r="H162">
        <v>31.203199999999999</v>
      </c>
      <c r="I162">
        <v>-18.206499999999998</v>
      </c>
      <c r="K162" t="s">
        <v>38</v>
      </c>
      <c r="M162" t="s">
        <v>420</v>
      </c>
      <c r="N162" t="s">
        <v>163</v>
      </c>
      <c r="P162" t="s">
        <v>39</v>
      </c>
      <c r="Q162" t="s">
        <v>49</v>
      </c>
      <c r="R162" t="s">
        <v>421</v>
      </c>
      <c r="S162" s="2" t="s">
        <v>422</v>
      </c>
    </row>
    <row r="163" spans="1:21" x14ac:dyDescent="0.3">
      <c r="A163" t="s">
        <v>425</v>
      </c>
      <c r="B163">
        <v>1410</v>
      </c>
      <c r="C163">
        <v>40</v>
      </c>
      <c r="D163" t="s">
        <v>25</v>
      </c>
      <c r="H163">
        <v>31.203199999999999</v>
      </c>
      <c r="I163">
        <v>-18.206499999999998</v>
      </c>
      <c r="K163" t="s">
        <v>38</v>
      </c>
      <c r="M163" t="s">
        <v>420</v>
      </c>
      <c r="N163" t="s">
        <v>163</v>
      </c>
      <c r="P163" t="s">
        <v>39</v>
      </c>
      <c r="Q163" t="s">
        <v>49</v>
      </c>
      <c r="R163" t="s">
        <v>421</v>
      </c>
      <c r="S163" s="2" t="s">
        <v>422</v>
      </c>
    </row>
    <row r="164" spans="1:21" x14ac:dyDescent="0.3">
      <c r="A164" t="s">
        <v>426</v>
      </c>
      <c r="B164">
        <v>1370</v>
      </c>
      <c r="C164">
        <v>90</v>
      </c>
      <c r="D164" t="s">
        <v>25</v>
      </c>
      <c r="H164">
        <v>31.203199999999999</v>
      </c>
      <c r="I164">
        <v>-18.206499999999998</v>
      </c>
      <c r="K164" t="s">
        <v>38</v>
      </c>
      <c r="M164" t="s">
        <v>420</v>
      </c>
      <c r="N164" t="s">
        <v>163</v>
      </c>
      <c r="P164" t="s">
        <v>39</v>
      </c>
      <c r="Q164" t="s">
        <v>49</v>
      </c>
      <c r="R164" t="s">
        <v>421</v>
      </c>
      <c r="S164" s="2" t="s">
        <v>422</v>
      </c>
    </row>
    <row r="165" spans="1:21" x14ac:dyDescent="0.3">
      <c r="A165" t="s">
        <v>427</v>
      </c>
      <c r="B165">
        <v>1010</v>
      </c>
      <c r="C165">
        <v>130</v>
      </c>
      <c r="D165" t="s">
        <v>25</v>
      </c>
      <c r="H165">
        <v>31.203199999999999</v>
      </c>
      <c r="I165">
        <v>-18.206499999999998</v>
      </c>
      <c r="K165" t="s">
        <v>38</v>
      </c>
      <c r="M165" t="s">
        <v>420</v>
      </c>
      <c r="N165" t="s">
        <v>163</v>
      </c>
      <c r="P165" t="s">
        <v>39</v>
      </c>
      <c r="Q165" t="s">
        <v>49</v>
      </c>
      <c r="R165" t="s">
        <v>421</v>
      </c>
      <c r="S165" s="2" t="s">
        <v>422</v>
      </c>
    </row>
    <row r="166" spans="1:21" x14ac:dyDescent="0.3">
      <c r="A166" t="s">
        <v>428</v>
      </c>
      <c r="B166">
        <v>1600</v>
      </c>
      <c r="C166">
        <v>40</v>
      </c>
      <c r="D166" t="s">
        <v>25</v>
      </c>
      <c r="H166">
        <v>31.203199999999999</v>
      </c>
      <c r="I166">
        <v>-18.206499999999998</v>
      </c>
      <c r="K166" t="s">
        <v>38</v>
      </c>
      <c r="M166" t="s">
        <v>420</v>
      </c>
      <c r="N166" t="s">
        <v>163</v>
      </c>
      <c r="P166" t="s">
        <v>39</v>
      </c>
      <c r="Q166" t="s">
        <v>49</v>
      </c>
      <c r="R166" t="s">
        <v>421</v>
      </c>
      <c r="S166" s="2" t="s">
        <v>422</v>
      </c>
    </row>
    <row r="167" spans="1:21" x14ac:dyDescent="0.3">
      <c r="A167" t="s">
        <v>429</v>
      </c>
      <c r="B167">
        <v>1480</v>
      </c>
      <c r="C167">
        <v>40</v>
      </c>
      <c r="D167" t="s">
        <v>25</v>
      </c>
      <c r="H167">
        <v>31.203199999999999</v>
      </c>
      <c r="I167">
        <v>-18.206499999999998</v>
      </c>
      <c r="K167" t="s">
        <v>38</v>
      </c>
      <c r="M167" t="s">
        <v>420</v>
      </c>
      <c r="N167" t="s">
        <v>163</v>
      </c>
      <c r="P167" t="s">
        <v>39</v>
      </c>
      <c r="Q167" t="s">
        <v>49</v>
      </c>
      <c r="R167" t="s">
        <v>421</v>
      </c>
      <c r="S167" s="2" t="s">
        <v>422</v>
      </c>
    </row>
    <row r="168" spans="1:21" x14ac:dyDescent="0.3">
      <c r="A168" t="s">
        <v>434</v>
      </c>
      <c r="B168">
        <v>1620</v>
      </c>
      <c r="C168">
        <v>50</v>
      </c>
      <c r="D168" t="s">
        <v>25</v>
      </c>
      <c r="H168">
        <v>31.17</v>
      </c>
      <c r="I168">
        <v>-26.28</v>
      </c>
      <c r="K168" t="s">
        <v>38</v>
      </c>
      <c r="M168" t="s">
        <v>430</v>
      </c>
      <c r="N168" t="s">
        <v>431</v>
      </c>
      <c r="P168" t="s">
        <v>39</v>
      </c>
      <c r="Q168" t="s">
        <v>49</v>
      </c>
      <c r="R168" t="s">
        <v>433</v>
      </c>
      <c r="S168" s="7" t="s">
        <v>432</v>
      </c>
      <c r="T168" t="s">
        <v>435</v>
      </c>
    </row>
    <row r="169" spans="1:21" x14ac:dyDescent="0.3">
      <c r="A169" t="s">
        <v>436</v>
      </c>
      <c r="B169">
        <v>750</v>
      </c>
      <c r="C169">
        <v>135</v>
      </c>
      <c r="D169" t="s">
        <v>25</v>
      </c>
      <c r="H169">
        <v>27.234000000000002</v>
      </c>
      <c r="I169">
        <v>-15.991</v>
      </c>
      <c r="K169" t="s">
        <v>38</v>
      </c>
      <c r="M169" t="s">
        <v>635</v>
      </c>
      <c r="N169" t="s">
        <v>163</v>
      </c>
      <c r="P169" t="s">
        <v>39</v>
      </c>
      <c r="R169" t="s">
        <v>437</v>
      </c>
      <c r="S169" s="7" t="s">
        <v>438</v>
      </c>
      <c r="T169" t="s">
        <v>665</v>
      </c>
    </row>
    <row r="170" spans="1:21" x14ac:dyDescent="0.3">
      <c r="A170" t="s">
        <v>444</v>
      </c>
      <c r="B170">
        <v>1870</v>
      </c>
      <c r="C170">
        <v>35</v>
      </c>
      <c r="D170" t="s">
        <v>25</v>
      </c>
      <c r="H170">
        <v>40.1556</v>
      </c>
      <c r="I170">
        <v>-13.725</v>
      </c>
      <c r="K170" t="s">
        <v>440</v>
      </c>
      <c r="M170" t="s">
        <v>442</v>
      </c>
      <c r="N170" t="s">
        <v>441</v>
      </c>
      <c r="P170" t="s">
        <v>39</v>
      </c>
      <c r="Q170" t="s">
        <v>439</v>
      </c>
      <c r="R170" t="s">
        <v>448</v>
      </c>
      <c r="S170" s="7" t="s">
        <v>449</v>
      </c>
      <c r="T170" t="s">
        <v>443</v>
      </c>
    </row>
    <row r="171" spans="1:21" x14ac:dyDescent="0.3">
      <c r="A171" t="s">
        <v>447</v>
      </c>
      <c r="B171">
        <v>1740</v>
      </c>
      <c r="C171">
        <v>40</v>
      </c>
      <c r="D171" t="s">
        <v>25</v>
      </c>
      <c r="H171">
        <v>36.97</v>
      </c>
      <c r="I171">
        <v>-15.47</v>
      </c>
      <c r="K171" t="s">
        <v>440</v>
      </c>
      <c r="M171" t="s">
        <v>445</v>
      </c>
      <c r="N171" t="s">
        <v>441</v>
      </c>
      <c r="P171" t="s">
        <v>39</v>
      </c>
      <c r="R171" t="s">
        <v>448</v>
      </c>
      <c r="S171" s="7" t="s">
        <v>449</v>
      </c>
      <c r="T171" t="s">
        <v>446</v>
      </c>
      <c r="U171" t="s">
        <v>490</v>
      </c>
    </row>
    <row r="172" spans="1:21" x14ac:dyDescent="0.3">
      <c r="A172" t="s">
        <v>452</v>
      </c>
      <c r="B172">
        <v>1892</v>
      </c>
      <c r="C172">
        <v>30</v>
      </c>
      <c r="D172" t="s">
        <v>451</v>
      </c>
      <c r="H172">
        <v>35.695999999999998</v>
      </c>
      <c r="I172">
        <v>-18.126000000000001</v>
      </c>
      <c r="K172" t="s">
        <v>38</v>
      </c>
      <c r="M172" t="s">
        <v>450</v>
      </c>
      <c r="N172" t="s">
        <v>441</v>
      </c>
      <c r="P172" t="s">
        <v>39</v>
      </c>
      <c r="Q172" t="s">
        <v>439</v>
      </c>
      <c r="R172" t="s">
        <v>455</v>
      </c>
      <c r="S172" s="7" t="s">
        <v>456</v>
      </c>
      <c r="T172" t="s">
        <v>454</v>
      </c>
    </row>
    <row r="173" spans="1:21" x14ac:dyDescent="0.3">
      <c r="A173" t="s">
        <v>453</v>
      </c>
      <c r="B173">
        <v>1999</v>
      </c>
      <c r="C173">
        <v>30</v>
      </c>
      <c r="D173" t="s">
        <v>451</v>
      </c>
      <c r="H173">
        <v>35.695999999999998</v>
      </c>
      <c r="I173">
        <v>-18.126000000000001</v>
      </c>
      <c r="K173" t="s">
        <v>38</v>
      </c>
      <c r="M173" t="s">
        <v>450</v>
      </c>
      <c r="N173" t="s">
        <v>441</v>
      </c>
      <c r="P173" t="s">
        <v>39</v>
      </c>
      <c r="Q173" t="s">
        <v>439</v>
      </c>
      <c r="R173" t="s">
        <v>455</v>
      </c>
      <c r="S173" s="7" t="s">
        <v>456</v>
      </c>
      <c r="T173" t="s">
        <v>454</v>
      </c>
    </row>
    <row r="174" spans="1:21" x14ac:dyDescent="0.3">
      <c r="A174" t="s">
        <v>457</v>
      </c>
      <c r="B174">
        <v>1580</v>
      </c>
      <c r="C174">
        <v>60</v>
      </c>
      <c r="H174">
        <v>34.67</v>
      </c>
      <c r="I174">
        <v>-14.58</v>
      </c>
      <c r="K174" t="s">
        <v>38</v>
      </c>
      <c r="M174" t="s">
        <v>656</v>
      </c>
      <c r="N174" t="s">
        <v>90</v>
      </c>
      <c r="P174" t="s">
        <v>39</v>
      </c>
      <c r="Q174" t="s">
        <v>439</v>
      </c>
      <c r="R174" t="s">
        <v>400</v>
      </c>
      <c r="S174" s="7" t="s">
        <v>401</v>
      </c>
      <c r="T174" t="s">
        <v>459</v>
      </c>
    </row>
    <row r="175" spans="1:21" x14ac:dyDescent="0.3">
      <c r="A175" t="s">
        <v>460</v>
      </c>
      <c r="B175">
        <v>1730</v>
      </c>
      <c r="C175">
        <v>90</v>
      </c>
      <c r="H175">
        <v>34.67</v>
      </c>
      <c r="I175">
        <v>-14.58</v>
      </c>
      <c r="K175" t="s">
        <v>38</v>
      </c>
      <c r="M175" t="s">
        <v>458</v>
      </c>
      <c r="N175" t="s">
        <v>90</v>
      </c>
      <c r="P175" t="s">
        <v>39</v>
      </c>
      <c r="Q175" t="s">
        <v>439</v>
      </c>
      <c r="R175" t="s">
        <v>462</v>
      </c>
      <c r="S175" s="7" t="s">
        <v>463</v>
      </c>
      <c r="T175" t="s">
        <v>461</v>
      </c>
    </row>
    <row r="176" spans="1:21" x14ac:dyDescent="0.3">
      <c r="A176" t="s">
        <v>465</v>
      </c>
      <c r="B176">
        <v>1785</v>
      </c>
      <c r="C176">
        <v>15</v>
      </c>
      <c r="H176" s="5" t="s">
        <v>472</v>
      </c>
      <c r="I176" s="5" t="s">
        <v>473</v>
      </c>
      <c r="K176" t="s">
        <v>440</v>
      </c>
      <c r="M176" t="s">
        <v>464</v>
      </c>
      <c r="N176" t="s">
        <v>178</v>
      </c>
      <c r="P176" t="s">
        <v>39</v>
      </c>
      <c r="Q176" t="s">
        <v>439</v>
      </c>
      <c r="R176" t="s">
        <v>468</v>
      </c>
      <c r="S176" s="7" t="s">
        <v>467</v>
      </c>
      <c r="T176" t="s">
        <v>466</v>
      </c>
    </row>
    <row r="177" spans="1:21" x14ac:dyDescent="0.3">
      <c r="A177" t="s">
        <v>469</v>
      </c>
      <c r="B177">
        <v>1520</v>
      </c>
      <c r="C177">
        <v>60</v>
      </c>
      <c r="H177" s="5" t="s">
        <v>472</v>
      </c>
      <c r="I177" s="5" t="s">
        <v>473</v>
      </c>
      <c r="K177" t="s">
        <v>440</v>
      </c>
      <c r="M177" t="s">
        <v>464</v>
      </c>
      <c r="N177" t="s">
        <v>178</v>
      </c>
      <c r="P177" t="s">
        <v>39</v>
      </c>
      <c r="Q177" t="s">
        <v>439</v>
      </c>
      <c r="R177" t="s">
        <v>468</v>
      </c>
      <c r="S177" s="7" t="s">
        <v>467</v>
      </c>
      <c r="T177" t="s">
        <v>471</v>
      </c>
    </row>
    <row r="178" spans="1:21" x14ac:dyDescent="0.3">
      <c r="A178" t="s">
        <v>470</v>
      </c>
      <c r="B178">
        <v>1480</v>
      </c>
      <c r="C178">
        <v>150</v>
      </c>
      <c r="H178" s="5" t="s">
        <v>472</v>
      </c>
      <c r="I178" s="5" t="s">
        <v>473</v>
      </c>
      <c r="K178" t="s">
        <v>440</v>
      </c>
      <c r="M178" t="s">
        <v>464</v>
      </c>
      <c r="N178" t="s">
        <v>178</v>
      </c>
      <c r="P178" t="s">
        <v>39</v>
      </c>
      <c r="Q178" t="s">
        <v>439</v>
      </c>
      <c r="R178" t="s">
        <v>468</v>
      </c>
      <c r="S178" s="7" t="s">
        <v>467</v>
      </c>
      <c r="T178" t="s">
        <v>481</v>
      </c>
    </row>
    <row r="179" spans="1:21" x14ac:dyDescent="0.3">
      <c r="A179" t="s">
        <v>483</v>
      </c>
      <c r="B179">
        <v>1370</v>
      </c>
      <c r="C179">
        <v>210</v>
      </c>
      <c r="H179" s="5" t="s">
        <v>472</v>
      </c>
      <c r="I179" s="5" t="s">
        <v>473</v>
      </c>
      <c r="K179" t="s">
        <v>440</v>
      </c>
      <c r="M179" t="s">
        <v>464</v>
      </c>
      <c r="N179" t="s">
        <v>178</v>
      </c>
      <c r="P179" t="s">
        <v>39</v>
      </c>
      <c r="Q179" t="s">
        <v>439</v>
      </c>
      <c r="R179" t="s">
        <v>468</v>
      </c>
      <c r="S179" s="7" t="s">
        <v>467</v>
      </c>
      <c r="T179" t="s">
        <v>482</v>
      </c>
    </row>
    <row r="180" spans="1:21" x14ac:dyDescent="0.3">
      <c r="A180" t="s">
        <v>474</v>
      </c>
      <c r="B180">
        <v>990</v>
      </c>
      <c r="C180">
        <v>50</v>
      </c>
      <c r="H180" s="5" t="s">
        <v>472</v>
      </c>
      <c r="I180" s="5" t="s">
        <v>473</v>
      </c>
      <c r="K180" t="s">
        <v>440</v>
      </c>
      <c r="M180" t="s">
        <v>480</v>
      </c>
      <c r="N180" t="s">
        <v>178</v>
      </c>
      <c r="P180" t="s">
        <v>39</v>
      </c>
      <c r="Q180" t="s">
        <v>439</v>
      </c>
      <c r="R180" t="s">
        <v>468</v>
      </c>
      <c r="S180" s="7" t="s">
        <v>467</v>
      </c>
      <c r="T180" t="s">
        <v>481</v>
      </c>
      <c r="U180" t="s">
        <v>484</v>
      </c>
    </row>
    <row r="181" spans="1:21" x14ac:dyDescent="0.3">
      <c r="A181" t="s">
        <v>475</v>
      </c>
      <c r="B181">
        <v>810</v>
      </c>
      <c r="C181">
        <v>70</v>
      </c>
      <c r="H181" s="5" t="s">
        <v>472</v>
      </c>
      <c r="I181" s="5" t="s">
        <v>473</v>
      </c>
      <c r="K181" t="s">
        <v>440</v>
      </c>
      <c r="M181" t="s">
        <v>480</v>
      </c>
      <c r="N181" t="s">
        <v>178</v>
      </c>
      <c r="P181" t="s">
        <v>39</v>
      </c>
      <c r="Q181" t="s">
        <v>439</v>
      </c>
      <c r="R181" t="s">
        <v>468</v>
      </c>
      <c r="S181" s="7" t="s">
        <v>467</v>
      </c>
      <c r="T181" t="s">
        <v>481</v>
      </c>
      <c r="U181" t="s">
        <v>485</v>
      </c>
    </row>
    <row r="182" spans="1:21" x14ac:dyDescent="0.3">
      <c r="A182" t="s">
        <v>476</v>
      </c>
      <c r="B182">
        <v>1290</v>
      </c>
      <c r="C182">
        <v>50</v>
      </c>
      <c r="H182" s="5" t="s">
        <v>472</v>
      </c>
      <c r="I182" s="5" t="s">
        <v>473</v>
      </c>
      <c r="K182" t="s">
        <v>440</v>
      </c>
      <c r="M182" t="s">
        <v>480</v>
      </c>
      <c r="N182" t="s">
        <v>178</v>
      </c>
      <c r="P182" t="s">
        <v>39</v>
      </c>
      <c r="Q182" t="s">
        <v>439</v>
      </c>
      <c r="R182" t="s">
        <v>468</v>
      </c>
      <c r="S182" s="7" t="s">
        <v>467</v>
      </c>
      <c r="T182" t="s">
        <v>481</v>
      </c>
      <c r="U182" t="s">
        <v>486</v>
      </c>
    </row>
    <row r="183" spans="1:21" x14ac:dyDescent="0.3">
      <c r="A183" t="s">
        <v>477</v>
      </c>
      <c r="B183">
        <v>1410</v>
      </c>
      <c r="C183">
        <v>80</v>
      </c>
      <c r="H183" s="5" t="s">
        <v>472</v>
      </c>
      <c r="I183" s="5" t="s">
        <v>473</v>
      </c>
      <c r="K183" t="s">
        <v>440</v>
      </c>
      <c r="M183" t="s">
        <v>480</v>
      </c>
      <c r="N183" t="s">
        <v>178</v>
      </c>
      <c r="P183" t="s">
        <v>39</v>
      </c>
      <c r="Q183" t="s">
        <v>439</v>
      </c>
      <c r="R183" t="s">
        <v>468</v>
      </c>
      <c r="S183" s="7" t="s">
        <v>467</v>
      </c>
      <c r="T183" t="s">
        <v>481</v>
      </c>
      <c r="U183" t="s">
        <v>487</v>
      </c>
    </row>
    <row r="184" spans="1:21" x14ac:dyDescent="0.3">
      <c r="A184" t="s">
        <v>478</v>
      </c>
      <c r="B184">
        <v>1445</v>
      </c>
      <c r="C184">
        <v>80</v>
      </c>
      <c r="H184" s="5" t="s">
        <v>472</v>
      </c>
      <c r="I184" s="5" t="s">
        <v>473</v>
      </c>
      <c r="K184" t="s">
        <v>440</v>
      </c>
      <c r="M184" t="s">
        <v>480</v>
      </c>
      <c r="N184" t="s">
        <v>178</v>
      </c>
      <c r="P184" t="s">
        <v>39</v>
      </c>
      <c r="Q184" t="s">
        <v>439</v>
      </c>
      <c r="R184" t="s">
        <v>468</v>
      </c>
      <c r="S184" s="7" t="s">
        <v>467</v>
      </c>
      <c r="T184" t="s">
        <v>481</v>
      </c>
      <c r="U184" t="s">
        <v>488</v>
      </c>
    </row>
    <row r="185" spans="1:21" x14ac:dyDescent="0.3">
      <c r="A185" t="s">
        <v>479</v>
      </c>
      <c r="B185">
        <v>1475</v>
      </c>
      <c r="C185">
        <v>70</v>
      </c>
      <c r="H185" s="5" t="s">
        <v>472</v>
      </c>
      <c r="I185" s="5" t="s">
        <v>473</v>
      </c>
      <c r="K185" t="s">
        <v>440</v>
      </c>
      <c r="M185" t="s">
        <v>480</v>
      </c>
      <c r="N185" t="s">
        <v>178</v>
      </c>
      <c r="P185" t="s">
        <v>39</v>
      </c>
      <c r="Q185" t="s">
        <v>439</v>
      </c>
      <c r="R185" t="s">
        <v>468</v>
      </c>
      <c r="S185" s="7" t="s">
        <v>467</v>
      </c>
      <c r="T185" t="s">
        <v>481</v>
      </c>
      <c r="U185" t="s">
        <v>489</v>
      </c>
    </row>
    <row r="186" spans="1:21" x14ac:dyDescent="0.3">
      <c r="A186" t="s">
        <v>494</v>
      </c>
      <c r="B186">
        <v>1570</v>
      </c>
      <c r="C186">
        <v>140</v>
      </c>
      <c r="H186" s="14">
        <v>27.64</v>
      </c>
      <c r="I186" s="14">
        <v>-22.59</v>
      </c>
      <c r="K186" t="s">
        <v>440</v>
      </c>
      <c r="M186" t="s">
        <v>491</v>
      </c>
      <c r="N186" t="s">
        <v>496</v>
      </c>
      <c r="P186" t="s">
        <v>39</v>
      </c>
      <c r="Q186" t="s">
        <v>439</v>
      </c>
      <c r="R186" t="s">
        <v>492</v>
      </c>
      <c r="S186" s="7" t="s">
        <v>493</v>
      </c>
      <c r="T186" t="s">
        <v>495</v>
      </c>
    </row>
    <row r="187" spans="1:21" x14ac:dyDescent="0.3">
      <c r="A187" t="s">
        <v>497</v>
      </c>
      <c r="B187">
        <v>175</v>
      </c>
      <c r="C187">
        <v>40</v>
      </c>
      <c r="D187" t="s">
        <v>25</v>
      </c>
      <c r="H187" s="13">
        <v>19.529299999999999</v>
      </c>
      <c r="I187">
        <v>-17.872599999999998</v>
      </c>
      <c r="K187" t="s">
        <v>498</v>
      </c>
      <c r="M187" t="s">
        <v>528</v>
      </c>
      <c r="N187" t="s">
        <v>98</v>
      </c>
      <c r="P187" t="s">
        <v>39</v>
      </c>
      <c r="Q187" t="s">
        <v>439</v>
      </c>
      <c r="R187" t="s">
        <v>510</v>
      </c>
      <c r="S187" s="7" t="s">
        <v>522</v>
      </c>
      <c r="T187" t="s">
        <v>529</v>
      </c>
    </row>
    <row r="188" spans="1:21" x14ac:dyDescent="0.3">
      <c r="A188" t="s">
        <v>499</v>
      </c>
      <c r="B188">
        <v>355</v>
      </c>
      <c r="C188">
        <v>30</v>
      </c>
      <c r="D188" t="s">
        <v>25</v>
      </c>
      <c r="H188" s="13">
        <v>19.529299999999999</v>
      </c>
      <c r="I188">
        <v>-17.872599999999998</v>
      </c>
      <c r="K188" t="s">
        <v>498</v>
      </c>
      <c r="M188" t="s">
        <v>528</v>
      </c>
      <c r="N188" t="s">
        <v>98</v>
      </c>
      <c r="P188" t="s">
        <v>39</v>
      </c>
      <c r="Q188" t="s">
        <v>439</v>
      </c>
      <c r="R188" t="s">
        <v>511</v>
      </c>
      <c r="S188" s="2" t="s">
        <v>522</v>
      </c>
      <c r="T188" t="s">
        <v>530</v>
      </c>
    </row>
    <row r="189" spans="1:21" x14ac:dyDescent="0.3">
      <c r="A189" t="s">
        <v>500</v>
      </c>
      <c r="B189">
        <v>410</v>
      </c>
      <c r="C189">
        <v>30</v>
      </c>
      <c r="D189" t="s">
        <v>25</v>
      </c>
      <c r="H189" s="13">
        <v>19.529299999999999</v>
      </c>
      <c r="I189">
        <v>-17.872599999999998</v>
      </c>
      <c r="K189" t="s">
        <v>498</v>
      </c>
      <c r="M189" t="s">
        <v>528</v>
      </c>
      <c r="N189" t="s">
        <v>98</v>
      </c>
      <c r="P189" t="s">
        <v>39</v>
      </c>
      <c r="Q189" t="s">
        <v>439</v>
      </c>
      <c r="R189" t="s">
        <v>512</v>
      </c>
      <c r="S189" s="7" t="s">
        <v>522</v>
      </c>
      <c r="T189" t="s">
        <v>531</v>
      </c>
    </row>
    <row r="190" spans="1:21" x14ac:dyDescent="0.3">
      <c r="A190" s="15" t="s">
        <v>501</v>
      </c>
      <c r="B190">
        <v>1090</v>
      </c>
      <c r="C190">
        <v>35</v>
      </c>
      <c r="D190" t="s">
        <v>25</v>
      </c>
      <c r="H190" s="13">
        <v>19.529299999999999</v>
      </c>
      <c r="I190">
        <v>-17.872599999999998</v>
      </c>
      <c r="K190" t="s">
        <v>440</v>
      </c>
      <c r="M190" t="s">
        <v>528</v>
      </c>
      <c r="N190" t="s">
        <v>98</v>
      </c>
      <c r="P190" t="s">
        <v>39</v>
      </c>
      <c r="Q190" t="s">
        <v>439</v>
      </c>
      <c r="R190" t="s">
        <v>513</v>
      </c>
      <c r="S190" s="7" t="s">
        <v>522</v>
      </c>
      <c r="T190" t="s">
        <v>532</v>
      </c>
    </row>
    <row r="191" spans="1:21" x14ac:dyDescent="0.3">
      <c r="A191" t="s">
        <v>502</v>
      </c>
      <c r="B191">
        <v>1360</v>
      </c>
      <c r="C191">
        <v>30</v>
      </c>
      <c r="D191" t="s">
        <v>25</v>
      </c>
      <c r="H191" s="13">
        <v>19.529299999999999</v>
      </c>
      <c r="I191">
        <v>-17.872599999999998</v>
      </c>
      <c r="K191" t="s">
        <v>440</v>
      </c>
      <c r="M191" t="s">
        <v>528</v>
      </c>
      <c r="N191" t="s">
        <v>98</v>
      </c>
      <c r="P191" t="s">
        <v>39</v>
      </c>
      <c r="Q191" t="s">
        <v>439</v>
      </c>
      <c r="R191" t="s">
        <v>514</v>
      </c>
      <c r="S191" s="2" t="s">
        <v>522</v>
      </c>
      <c r="T191" t="s">
        <v>533</v>
      </c>
    </row>
    <row r="192" spans="1:21" x14ac:dyDescent="0.3">
      <c r="A192" t="s">
        <v>503</v>
      </c>
      <c r="B192">
        <v>1390</v>
      </c>
      <c r="C192">
        <v>30</v>
      </c>
      <c r="D192" t="s">
        <v>25</v>
      </c>
      <c r="H192" s="13">
        <v>19.529299999999999</v>
      </c>
      <c r="I192">
        <v>-17.872599999999998</v>
      </c>
      <c r="K192" t="s">
        <v>440</v>
      </c>
      <c r="M192" t="s">
        <v>528</v>
      </c>
      <c r="N192" t="s">
        <v>98</v>
      </c>
      <c r="P192" t="s">
        <v>39</v>
      </c>
      <c r="Q192" t="s">
        <v>439</v>
      </c>
      <c r="R192" t="s">
        <v>515</v>
      </c>
      <c r="S192" s="2" t="s">
        <v>522</v>
      </c>
      <c r="T192" t="s">
        <v>534</v>
      </c>
    </row>
    <row r="193" spans="1:20" x14ac:dyDescent="0.3">
      <c r="A193" t="s">
        <v>504</v>
      </c>
      <c r="B193">
        <v>1565</v>
      </c>
      <c r="C193">
        <v>20</v>
      </c>
      <c r="D193" t="s">
        <v>25</v>
      </c>
      <c r="H193" s="13">
        <v>19.529299999999999</v>
      </c>
      <c r="I193">
        <v>-17.872599999999998</v>
      </c>
      <c r="K193" t="s">
        <v>440</v>
      </c>
      <c r="M193" t="s">
        <v>528</v>
      </c>
      <c r="N193" t="s">
        <v>98</v>
      </c>
      <c r="P193" t="s">
        <v>39</v>
      </c>
      <c r="Q193" t="s">
        <v>439</v>
      </c>
      <c r="R193" t="s">
        <v>516</v>
      </c>
      <c r="S193" s="2" t="s">
        <v>522</v>
      </c>
      <c r="T193" t="s">
        <v>535</v>
      </c>
    </row>
    <row r="194" spans="1:20" x14ac:dyDescent="0.3">
      <c r="A194" t="s">
        <v>505</v>
      </c>
      <c r="B194">
        <v>1570</v>
      </c>
      <c r="C194">
        <v>30</v>
      </c>
      <c r="D194" t="s">
        <v>25</v>
      </c>
      <c r="H194" s="13">
        <v>19.529299999999999</v>
      </c>
      <c r="I194">
        <v>-17.872599999999998</v>
      </c>
      <c r="K194" t="s">
        <v>440</v>
      </c>
      <c r="M194" t="s">
        <v>528</v>
      </c>
      <c r="N194" t="s">
        <v>98</v>
      </c>
      <c r="P194" t="s">
        <v>39</v>
      </c>
      <c r="Q194" t="s">
        <v>439</v>
      </c>
      <c r="R194" t="s">
        <v>517</v>
      </c>
      <c r="S194" s="2" t="s">
        <v>522</v>
      </c>
      <c r="T194" t="s">
        <v>536</v>
      </c>
    </row>
    <row r="195" spans="1:20" x14ac:dyDescent="0.3">
      <c r="A195" t="s">
        <v>506</v>
      </c>
      <c r="B195">
        <v>1602</v>
      </c>
      <c r="C195">
        <v>23</v>
      </c>
      <c r="D195" t="s">
        <v>25</v>
      </c>
      <c r="H195" s="13">
        <v>19.529299999999999</v>
      </c>
      <c r="I195">
        <v>-17.872599999999998</v>
      </c>
      <c r="K195" t="s">
        <v>440</v>
      </c>
      <c r="M195" t="s">
        <v>528</v>
      </c>
      <c r="N195" t="s">
        <v>98</v>
      </c>
      <c r="P195" t="s">
        <v>39</v>
      </c>
      <c r="Q195" t="s">
        <v>439</v>
      </c>
      <c r="R195" t="s">
        <v>518</v>
      </c>
      <c r="S195" s="2" t="s">
        <v>522</v>
      </c>
      <c r="T195" t="s">
        <v>541</v>
      </c>
    </row>
    <row r="196" spans="1:20" x14ac:dyDescent="0.3">
      <c r="A196" t="s">
        <v>507</v>
      </c>
      <c r="B196">
        <v>1615</v>
      </c>
      <c r="C196">
        <v>30</v>
      </c>
      <c r="D196" t="s">
        <v>25</v>
      </c>
      <c r="H196" s="13">
        <v>19.529299999999999</v>
      </c>
      <c r="I196">
        <v>-17.872599999999998</v>
      </c>
      <c r="K196" t="s">
        <v>440</v>
      </c>
      <c r="M196" t="s">
        <v>528</v>
      </c>
      <c r="N196" t="s">
        <v>98</v>
      </c>
      <c r="P196" t="s">
        <v>39</v>
      </c>
      <c r="Q196" t="s">
        <v>439</v>
      </c>
      <c r="R196" t="s">
        <v>519</v>
      </c>
      <c r="S196" s="2" t="s">
        <v>522</v>
      </c>
      <c r="T196" t="s">
        <v>540</v>
      </c>
    </row>
    <row r="197" spans="1:20" x14ac:dyDescent="0.3">
      <c r="A197" t="s">
        <v>508</v>
      </c>
      <c r="B197">
        <v>1670</v>
      </c>
      <c r="C197">
        <v>30</v>
      </c>
      <c r="D197" t="s">
        <v>25</v>
      </c>
      <c r="H197" s="13">
        <v>19.529299999999999</v>
      </c>
      <c r="I197">
        <v>-17.872599999999998</v>
      </c>
      <c r="K197" t="s">
        <v>440</v>
      </c>
      <c r="M197" t="s">
        <v>528</v>
      </c>
      <c r="N197" t="s">
        <v>98</v>
      </c>
      <c r="P197" t="s">
        <v>39</v>
      </c>
      <c r="Q197" t="s">
        <v>439</v>
      </c>
      <c r="R197" t="s">
        <v>520</v>
      </c>
      <c r="S197" s="2" t="s">
        <v>522</v>
      </c>
      <c r="T197" t="s">
        <v>539</v>
      </c>
    </row>
    <row r="198" spans="1:20" x14ac:dyDescent="0.3">
      <c r="A198" t="s">
        <v>509</v>
      </c>
      <c r="B198">
        <v>1740</v>
      </c>
      <c r="C198">
        <v>40</v>
      </c>
      <c r="D198" t="s">
        <v>25</v>
      </c>
      <c r="H198" s="13">
        <v>19.529299999999999</v>
      </c>
      <c r="I198">
        <v>-17.872599999999998</v>
      </c>
      <c r="K198" t="s">
        <v>440</v>
      </c>
      <c r="M198" t="s">
        <v>528</v>
      </c>
      <c r="N198" t="s">
        <v>98</v>
      </c>
      <c r="P198" t="s">
        <v>39</v>
      </c>
      <c r="Q198" t="s">
        <v>439</v>
      </c>
      <c r="R198" t="s">
        <v>521</v>
      </c>
      <c r="S198" s="2" t="s">
        <v>522</v>
      </c>
      <c r="T198" t="s">
        <v>538</v>
      </c>
    </row>
    <row r="199" spans="1:20" x14ac:dyDescent="0.3">
      <c r="A199" t="s">
        <v>523</v>
      </c>
      <c r="B199">
        <v>1580</v>
      </c>
      <c r="C199">
        <v>38</v>
      </c>
      <c r="D199" t="s">
        <v>25</v>
      </c>
      <c r="H199" s="13">
        <v>19.529299999999999</v>
      </c>
      <c r="I199">
        <v>-17.872599999999998</v>
      </c>
      <c r="K199" t="s">
        <v>440</v>
      </c>
      <c r="M199" t="s">
        <v>528</v>
      </c>
      <c r="N199" t="s">
        <v>98</v>
      </c>
      <c r="P199" t="s">
        <v>39</v>
      </c>
      <c r="Q199" t="s">
        <v>439</v>
      </c>
      <c r="R199" t="s">
        <v>521</v>
      </c>
      <c r="S199" s="2" t="s">
        <v>522</v>
      </c>
      <c r="T199" t="s">
        <v>537</v>
      </c>
    </row>
    <row r="200" spans="1:20" x14ac:dyDescent="0.3">
      <c r="A200" t="s">
        <v>524</v>
      </c>
      <c r="B200">
        <v>1550</v>
      </c>
      <c r="C200">
        <v>30</v>
      </c>
      <c r="D200" t="s">
        <v>25</v>
      </c>
      <c r="H200" s="13">
        <v>19.567299999999999</v>
      </c>
      <c r="I200">
        <v>-17.875399999999999</v>
      </c>
      <c r="K200" t="s">
        <v>440</v>
      </c>
      <c r="M200" t="s">
        <v>106</v>
      </c>
      <c r="N200" t="s">
        <v>98</v>
      </c>
      <c r="P200" t="s">
        <v>39</v>
      </c>
      <c r="Q200" t="s">
        <v>49</v>
      </c>
      <c r="R200" t="s">
        <v>521</v>
      </c>
      <c r="S200" s="2" t="s">
        <v>522</v>
      </c>
      <c r="T200" t="s">
        <v>544</v>
      </c>
    </row>
    <row r="201" spans="1:20" x14ac:dyDescent="0.3">
      <c r="A201" t="s">
        <v>525</v>
      </c>
      <c r="B201">
        <v>1535</v>
      </c>
      <c r="C201">
        <v>30</v>
      </c>
      <c r="D201" t="s">
        <v>25</v>
      </c>
      <c r="H201" s="13">
        <v>19.567299999999999</v>
      </c>
      <c r="I201">
        <v>-17.875399999999999</v>
      </c>
      <c r="K201" t="s">
        <v>440</v>
      </c>
      <c r="M201" t="s">
        <v>106</v>
      </c>
      <c r="N201" t="s">
        <v>98</v>
      </c>
      <c r="P201" t="s">
        <v>39</v>
      </c>
      <c r="Q201" t="s">
        <v>49</v>
      </c>
      <c r="R201" t="s">
        <v>521</v>
      </c>
      <c r="S201" s="2" t="s">
        <v>522</v>
      </c>
      <c r="T201" t="s">
        <v>543</v>
      </c>
    </row>
    <row r="202" spans="1:20" x14ac:dyDescent="0.3">
      <c r="A202" t="s">
        <v>526</v>
      </c>
      <c r="B202">
        <v>1480</v>
      </c>
      <c r="C202">
        <v>30</v>
      </c>
      <c r="D202" t="s">
        <v>545</v>
      </c>
      <c r="H202" s="13">
        <v>19.567299999999999</v>
      </c>
      <c r="I202">
        <v>-17.875399999999999</v>
      </c>
      <c r="K202" t="s">
        <v>440</v>
      </c>
      <c r="M202" t="s">
        <v>106</v>
      </c>
      <c r="N202" t="s">
        <v>98</v>
      </c>
      <c r="P202" t="s">
        <v>39</v>
      </c>
      <c r="Q202" t="s">
        <v>49</v>
      </c>
      <c r="R202" t="s">
        <v>521</v>
      </c>
      <c r="S202" s="2" t="s">
        <v>522</v>
      </c>
      <c r="T202" t="s">
        <v>542</v>
      </c>
    </row>
    <row r="203" spans="1:20" x14ac:dyDescent="0.3">
      <c r="A203" t="s">
        <v>527</v>
      </c>
      <c r="B203">
        <v>1545</v>
      </c>
      <c r="C203">
        <v>30</v>
      </c>
      <c r="D203" t="s">
        <v>25</v>
      </c>
      <c r="H203" s="13">
        <v>19.567299999999999</v>
      </c>
      <c r="I203">
        <v>-17.875399999999999</v>
      </c>
      <c r="K203" t="s">
        <v>440</v>
      </c>
      <c r="M203" t="s">
        <v>106</v>
      </c>
      <c r="N203" t="s">
        <v>98</v>
      </c>
      <c r="P203" t="s">
        <v>39</v>
      </c>
      <c r="Q203" t="s">
        <v>49</v>
      </c>
      <c r="R203" t="s">
        <v>521</v>
      </c>
      <c r="S203" s="2" t="s">
        <v>522</v>
      </c>
      <c r="T203" t="s">
        <v>543</v>
      </c>
    </row>
    <row r="204" spans="1:20" x14ac:dyDescent="0.3">
      <c r="A204" t="s">
        <v>548</v>
      </c>
      <c r="B204">
        <v>270</v>
      </c>
      <c r="C204">
        <v>30</v>
      </c>
      <c r="D204" t="s">
        <v>25</v>
      </c>
      <c r="H204" s="13">
        <v>19.856400000000001</v>
      </c>
      <c r="I204">
        <v>-17.883800000000001</v>
      </c>
      <c r="K204" t="s">
        <v>498</v>
      </c>
      <c r="M204" t="s">
        <v>105</v>
      </c>
      <c r="N204" t="s">
        <v>98</v>
      </c>
      <c r="P204" t="s">
        <v>39</v>
      </c>
      <c r="Q204" t="s">
        <v>49</v>
      </c>
      <c r="R204" t="s">
        <v>521</v>
      </c>
      <c r="S204" s="2" t="s">
        <v>522</v>
      </c>
      <c r="T204" t="s">
        <v>551</v>
      </c>
    </row>
    <row r="205" spans="1:20" x14ac:dyDescent="0.3">
      <c r="A205" t="s">
        <v>549</v>
      </c>
      <c r="B205">
        <v>355</v>
      </c>
      <c r="C205">
        <v>30</v>
      </c>
      <c r="D205" t="s">
        <v>25</v>
      </c>
      <c r="H205" s="13">
        <v>19.856400000000001</v>
      </c>
      <c r="I205">
        <v>-17.883800000000001</v>
      </c>
      <c r="K205" t="s">
        <v>498</v>
      </c>
      <c r="M205" t="s">
        <v>105</v>
      </c>
      <c r="N205" t="s">
        <v>98</v>
      </c>
      <c r="P205" t="s">
        <v>39</v>
      </c>
      <c r="Q205" t="s">
        <v>49</v>
      </c>
      <c r="R205" t="s">
        <v>521</v>
      </c>
      <c r="S205" s="2" t="s">
        <v>522</v>
      </c>
      <c r="T205" t="s">
        <v>553</v>
      </c>
    </row>
    <row r="206" spans="1:20" x14ac:dyDescent="0.3">
      <c r="A206" t="s">
        <v>550</v>
      </c>
      <c r="B206">
        <v>400</v>
      </c>
      <c r="C206">
        <v>30</v>
      </c>
      <c r="D206" t="s">
        <v>25</v>
      </c>
      <c r="H206" s="13">
        <v>19.856400000000001</v>
      </c>
      <c r="I206">
        <v>-17.883800000000001</v>
      </c>
      <c r="K206" t="s">
        <v>498</v>
      </c>
      <c r="M206" t="s">
        <v>105</v>
      </c>
      <c r="N206" t="s">
        <v>98</v>
      </c>
      <c r="P206" t="s">
        <v>39</v>
      </c>
      <c r="Q206" t="s">
        <v>49</v>
      </c>
      <c r="R206" t="s">
        <v>521</v>
      </c>
      <c r="S206" s="2" t="s">
        <v>522</v>
      </c>
      <c r="T206" t="s">
        <v>552</v>
      </c>
    </row>
    <row r="207" spans="1:20" x14ac:dyDescent="0.3">
      <c r="A207" t="s">
        <v>556</v>
      </c>
      <c r="B207">
        <v>356</v>
      </c>
      <c r="C207">
        <v>35</v>
      </c>
      <c r="D207" t="s">
        <v>25</v>
      </c>
      <c r="H207" s="13">
        <v>20.041599999999999</v>
      </c>
      <c r="I207">
        <v>-17.901299999999999</v>
      </c>
      <c r="K207" t="s">
        <v>498</v>
      </c>
      <c r="M207" t="s">
        <v>554</v>
      </c>
      <c r="N207" t="s">
        <v>98</v>
      </c>
      <c r="P207" t="s">
        <v>39</v>
      </c>
      <c r="R207" t="s">
        <v>521</v>
      </c>
      <c r="S207" s="2" t="s">
        <v>522</v>
      </c>
      <c r="T207" t="s">
        <v>555</v>
      </c>
    </row>
    <row r="208" spans="1:20" x14ac:dyDescent="0.3">
      <c r="A208" t="s">
        <v>559</v>
      </c>
      <c r="B208">
        <v>220</v>
      </c>
      <c r="C208">
        <v>35</v>
      </c>
      <c r="D208" t="s">
        <v>25</v>
      </c>
      <c r="H208" s="13">
        <v>20.474299999999999</v>
      </c>
      <c r="I208">
        <v>-17.951699999999999</v>
      </c>
      <c r="K208" t="s">
        <v>498</v>
      </c>
      <c r="M208" t="s">
        <v>557</v>
      </c>
      <c r="N208" t="s">
        <v>98</v>
      </c>
      <c r="P208" t="s">
        <v>39</v>
      </c>
      <c r="R208" t="s">
        <v>521</v>
      </c>
      <c r="S208" s="2" t="s">
        <v>522</v>
      </c>
      <c r="T208" t="s">
        <v>558</v>
      </c>
    </row>
    <row r="209" spans="1:20" x14ac:dyDescent="0.3">
      <c r="A209" t="s">
        <v>569</v>
      </c>
      <c r="B209">
        <v>120</v>
      </c>
      <c r="C209">
        <v>35</v>
      </c>
      <c r="D209" t="s">
        <v>25</v>
      </c>
      <c r="H209" s="13">
        <v>20.474299999999999</v>
      </c>
      <c r="I209">
        <v>-17.951699999999999</v>
      </c>
      <c r="K209" t="s">
        <v>498</v>
      </c>
      <c r="M209" t="s">
        <v>557</v>
      </c>
      <c r="N209" t="s">
        <v>98</v>
      </c>
      <c r="P209" t="s">
        <v>39</v>
      </c>
      <c r="R209" t="s">
        <v>521</v>
      </c>
      <c r="S209" s="2" t="s">
        <v>522</v>
      </c>
      <c r="T209" t="s">
        <v>570</v>
      </c>
    </row>
    <row r="210" spans="1:20" x14ac:dyDescent="0.3">
      <c r="A210" t="s">
        <v>560</v>
      </c>
      <c r="B210">
        <v>235</v>
      </c>
      <c r="C210">
        <v>35</v>
      </c>
      <c r="D210" t="s">
        <v>25</v>
      </c>
      <c r="H210" s="13">
        <v>20.474299999999999</v>
      </c>
      <c r="I210">
        <v>-17.951699999999999</v>
      </c>
      <c r="K210" t="s">
        <v>498</v>
      </c>
      <c r="M210" t="s">
        <v>557</v>
      </c>
      <c r="N210" t="s">
        <v>98</v>
      </c>
      <c r="P210" t="s">
        <v>39</v>
      </c>
      <c r="R210" t="s">
        <v>521</v>
      </c>
      <c r="S210" s="2" t="s">
        <v>522</v>
      </c>
      <c r="T210" t="s">
        <v>561</v>
      </c>
    </row>
    <row r="211" spans="1:20" x14ac:dyDescent="0.3">
      <c r="A211" t="s">
        <v>562</v>
      </c>
      <c r="B211">
        <v>320</v>
      </c>
      <c r="C211">
        <v>30</v>
      </c>
      <c r="D211" t="s">
        <v>25</v>
      </c>
      <c r="H211">
        <v>21.322299999999998</v>
      </c>
      <c r="I211">
        <v>-18.137799999999999</v>
      </c>
      <c r="K211" t="s">
        <v>498</v>
      </c>
      <c r="M211" t="s">
        <v>99</v>
      </c>
      <c r="N211" t="s">
        <v>98</v>
      </c>
      <c r="P211" t="s">
        <v>39</v>
      </c>
      <c r="Q211" t="s">
        <v>49</v>
      </c>
      <c r="R211" t="s">
        <v>521</v>
      </c>
      <c r="S211" s="2" t="s">
        <v>522</v>
      </c>
      <c r="T211" t="s">
        <v>563</v>
      </c>
    </row>
    <row r="212" spans="1:20" x14ac:dyDescent="0.3">
      <c r="A212" t="s">
        <v>565</v>
      </c>
      <c r="B212">
        <v>110</v>
      </c>
      <c r="C212">
        <v>45</v>
      </c>
      <c r="D212" t="s">
        <v>25</v>
      </c>
      <c r="H212" s="13">
        <v>21.660499999999999</v>
      </c>
      <c r="I212">
        <v>-18.1403</v>
      </c>
      <c r="K212" t="s">
        <v>498</v>
      </c>
      <c r="M212" t="s">
        <v>564</v>
      </c>
      <c r="N212" t="s">
        <v>98</v>
      </c>
      <c r="P212" t="s">
        <v>39</v>
      </c>
      <c r="R212" t="s">
        <v>521</v>
      </c>
      <c r="S212" s="2" t="s">
        <v>522</v>
      </c>
      <c r="T212" t="s">
        <v>568</v>
      </c>
    </row>
    <row r="213" spans="1:20" x14ac:dyDescent="0.3">
      <c r="A213" t="s">
        <v>567</v>
      </c>
      <c r="B213">
        <v>40</v>
      </c>
      <c r="C213">
        <v>40</v>
      </c>
      <c r="D213" t="s">
        <v>566</v>
      </c>
      <c r="H213" s="13">
        <v>21.660499999999999</v>
      </c>
      <c r="I213">
        <v>-18.1403</v>
      </c>
      <c r="K213" t="s">
        <v>498</v>
      </c>
      <c r="M213" t="s">
        <v>564</v>
      </c>
      <c r="N213" t="s">
        <v>98</v>
      </c>
      <c r="P213" t="s">
        <v>39</v>
      </c>
      <c r="R213" t="s">
        <v>521</v>
      </c>
      <c r="S213" s="2" t="s">
        <v>522</v>
      </c>
      <c r="T213" t="s">
        <v>568</v>
      </c>
    </row>
    <row r="214" spans="1:20" x14ac:dyDescent="0.3">
      <c r="A214" t="s">
        <v>571</v>
      </c>
      <c r="B214">
        <v>280</v>
      </c>
      <c r="C214">
        <v>30</v>
      </c>
      <c r="D214" t="s">
        <v>25</v>
      </c>
      <c r="H214" s="13">
        <v>19.790700000000001</v>
      </c>
      <c r="I214">
        <v>-17.878050000000002</v>
      </c>
      <c r="K214" t="s">
        <v>38</v>
      </c>
      <c r="M214" t="s">
        <v>572</v>
      </c>
      <c r="N214" t="s">
        <v>98</v>
      </c>
      <c r="P214" t="s">
        <v>39</v>
      </c>
      <c r="R214" t="s">
        <v>521</v>
      </c>
      <c r="S214" s="2" t="s">
        <v>522</v>
      </c>
      <c r="T214" t="s">
        <v>573</v>
      </c>
    </row>
    <row r="215" spans="1:20" x14ac:dyDescent="0.3">
      <c r="A215" t="s">
        <v>597</v>
      </c>
      <c r="B215">
        <v>1590</v>
      </c>
      <c r="C215">
        <v>120</v>
      </c>
      <c r="D215" t="s">
        <v>25</v>
      </c>
      <c r="H215" s="13">
        <v>35.03</v>
      </c>
      <c r="I215">
        <v>-14.2</v>
      </c>
      <c r="K215" t="s">
        <v>440</v>
      </c>
      <c r="M215" t="s">
        <v>574</v>
      </c>
      <c r="N215" t="s">
        <v>90</v>
      </c>
      <c r="P215" t="s">
        <v>39</v>
      </c>
      <c r="Q215" t="s">
        <v>439</v>
      </c>
      <c r="R215" t="s">
        <v>575</v>
      </c>
      <c r="S215" s="7" t="s">
        <v>576</v>
      </c>
      <c r="T215" t="s">
        <v>577</v>
      </c>
    </row>
    <row r="216" spans="1:20" x14ac:dyDescent="0.3">
      <c r="A216" t="s">
        <v>598</v>
      </c>
      <c r="B216">
        <v>470</v>
      </c>
      <c r="C216">
        <v>95</v>
      </c>
      <c r="D216" t="s">
        <v>25</v>
      </c>
      <c r="H216" s="13">
        <v>35.08</v>
      </c>
      <c r="I216">
        <v>-14.25</v>
      </c>
      <c r="K216" t="s">
        <v>38</v>
      </c>
      <c r="M216" t="s">
        <v>578</v>
      </c>
      <c r="N216" t="s">
        <v>90</v>
      </c>
      <c r="P216" t="s">
        <v>39</v>
      </c>
      <c r="R216" t="s">
        <v>575</v>
      </c>
      <c r="S216" s="7" t="s">
        <v>576</v>
      </c>
      <c r="T216" t="s">
        <v>579</v>
      </c>
    </row>
    <row r="217" spans="1:20" x14ac:dyDescent="0.3">
      <c r="A217" t="s">
        <v>580</v>
      </c>
      <c r="B217">
        <v>1485</v>
      </c>
      <c r="C217">
        <v>170</v>
      </c>
      <c r="H217">
        <v>40.1556</v>
      </c>
      <c r="I217">
        <v>-13.725</v>
      </c>
      <c r="K217" t="s">
        <v>440</v>
      </c>
      <c r="M217" t="s">
        <v>442</v>
      </c>
      <c r="N217" t="s">
        <v>441</v>
      </c>
      <c r="P217" t="s">
        <v>39</v>
      </c>
      <c r="Q217" t="s">
        <v>439</v>
      </c>
      <c r="R217" t="s">
        <v>581</v>
      </c>
      <c r="S217" s="7" t="s">
        <v>582</v>
      </c>
    </row>
    <row r="218" spans="1:20" x14ac:dyDescent="0.3">
      <c r="A218" t="s">
        <v>585</v>
      </c>
      <c r="B218">
        <v>1555</v>
      </c>
      <c r="C218">
        <v>110</v>
      </c>
      <c r="H218" s="13">
        <v>34.982999999999997</v>
      </c>
      <c r="I218" s="13">
        <v>-14.17</v>
      </c>
      <c r="K218" t="s">
        <v>38</v>
      </c>
      <c r="M218" t="s">
        <v>586</v>
      </c>
      <c r="N218" t="s">
        <v>90</v>
      </c>
      <c r="P218" t="s">
        <v>39</v>
      </c>
      <c r="Q218" t="s">
        <v>439</v>
      </c>
      <c r="R218" t="s">
        <v>583</v>
      </c>
      <c r="S218" s="7" t="s">
        <v>584</v>
      </c>
    </row>
    <row r="219" spans="1:20" x14ac:dyDescent="0.3">
      <c r="A219" t="s">
        <v>587</v>
      </c>
      <c r="B219">
        <v>1300</v>
      </c>
      <c r="C219">
        <v>260</v>
      </c>
      <c r="H219" s="13">
        <v>34.982999999999997</v>
      </c>
      <c r="I219" s="13">
        <v>-14.17</v>
      </c>
      <c r="K219" t="s">
        <v>38</v>
      </c>
      <c r="M219" t="s">
        <v>586</v>
      </c>
      <c r="N219" t="s">
        <v>90</v>
      </c>
      <c r="P219" t="s">
        <v>39</v>
      </c>
      <c r="Q219" t="s">
        <v>439</v>
      </c>
      <c r="R219" t="s">
        <v>583</v>
      </c>
      <c r="S219" s="7" t="s">
        <v>584</v>
      </c>
    </row>
    <row r="220" spans="1:20" x14ac:dyDescent="0.3">
      <c r="A220" t="s">
        <v>588</v>
      </c>
      <c r="B220">
        <v>1075</v>
      </c>
      <c r="C220">
        <v>75</v>
      </c>
      <c r="H220" s="13">
        <v>34.982999999999997</v>
      </c>
      <c r="I220" s="13">
        <v>-14.17</v>
      </c>
      <c r="K220" t="s">
        <v>38</v>
      </c>
      <c r="M220" t="s">
        <v>586</v>
      </c>
      <c r="N220" t="s">
        <v>90</v>
      </c>
      <c r="P220" t="s">
        <v>39</v>
      </c>
      <c r="Q220" t="s">
        <v>439</v>
      </c>
      <c r="R220" t="s">
        <v>583</v>
      </c>
      <c r="S220" s="7" t="s">
        <v>584</v>
      </c>
    </row>
    <row r="221" spans="1:20" x14ac:dyDescent="0.3">
      <c r="A221" t="s">
        <v>592</v>
      </c>
      <c r="B221">
        <v>1440</v>
      </c>
      <c r="C221">
        <v>160</v>
      </c>
      <c r="H221" s="13">
        <v>28.777000000000001</v>
      </c>
      <c r="I221" s="13">
        <v>-13.194000000000001</v>
      </c>
      <c r="K221" t="s">
        <v>38</v>
      </c>
      <c r="M221" t="s">
        <v>591</v>
      </c>
      <c r="N221" t="s">
        <v>163</v>
      </c>
      <c r="P221" t="s">
        <v>39</v>
      </c>
      <c r="Q221" t="s">
        <v>439</v>
      </c>
      <c r="R221" t="s">
        <v>589</v>
      </c>
      <c r="S221" s="7" t="s">
        <v>590</v>
      </c>
    </row>
    <row r="222" spans="1:20" x14ac:dyDescent="0.3">
      <c r="A222" t="s">
        <v>593</v>
      </c>
      <c r="B222">
        <v>1150</v>
      </c>
      <c r="C222">
        <v>145</v>
      </c>
      <c r="H222" s="13">
        <v>28.777000000000001</v>
      </c>
      <c r="I222" s="13">
        <v>-13.194000000000001</v>
      </c>
      <c r="K222" t="s">
        <v>38</v>
      </c>
      <c r="M222" t="s">
        <v>591</v>
      </c>
      <c r="N222" t="s">
        <v>163</v>
      </c>
      <c r="P222" t="s">
        <v>39</v>
      </c>
      <c r="Q222" t="s">
        <v>439</v>
      </c>
      <c r="R222" t="s">
        <v>589</v>
      </c>
      <c r="S222" s="7" t="s">
        <v>590</v>
      </c>
    </row>
    <row r="223" spans="1:20" x14ac:dyDescent="0.3">
      <c r="A223" t="s">
        <v>594</v>
      </c>
      <c r="B223">
        <v>1135</v>
      </c>
      <c r="C223">
        <v>130</v>
      </c>
      <c r="H223" s="13">
        <v>28.777000000000001</v>
      </c>
      <c r="I223" s="13">
        <v>-13.194000000000001</v>
      </c>
      <c r="K223" t="s">
        <v>38</v>
      </c>
      <c r="M223" t="s">
        <v>591</v>
      </c>
      <c r="N223" t="s">
        <v>163</v>
      </c>
      <c r="P223" t="s">
        <v>39</v>
      </c>
      <c r="Q223" t="s">
        <v>439</v>
      </c>
      <c r="R223" t="s">
        <v>589</v>
      </c>
      <c r="S223" s="7" t="s">
        <v>590</v>
      </c>
    </row>
    <row r="224" spans="1:20" x14ac:dyDescent="0.3">
      <c r="A224" t="s">
        <v>595</v>
      </c>
      <c r="B224">
        <v>1060</v>
      </c>
      <c r="C224">
        <v>95</v>
      </c>
      <c r="H224" s="13">
        <v>28.777000000000001</v>
      </c>
      <c r="I224" s="13">
        <v>-13.194000000000001</v>
      </c>
      <c r="K224" t="s">
        <v>38</v>
      </c>
      <c r="M224" t="s">
        <v>591</v>
      </c>
      <c r="N224" t="s">
        <v>163</v>
      </c>
      <c r="P224" t="s">
        <v>39</v>
      </c>
      <c r="Q224" t="s">
        <v>439</v>
      </c>
      <c r="R224" t="s">
        <v>589</v>
      </c>
      <c r="S224" s="7" t="s">
        <v>590</v>
      </c>
    </row>
    <row r="225" spans="1:20" x14ac:dyDescent="0.3">
      <c r="A225" t="s">
        <v>599</v>
      </c>
      <c r="B225">
        <v>1350</v>
      </c>
      <c r="C225">
        <v>100</v>
      </c>
      <c r="H225" s="13">
        <v>25.849</v>
      </c>
      <c r="I225" s="13">
        <v>-17.756</v>
      </c>
      <c r="K225" t="s">
        <v>38</v>
      </c>
      <c r="M225" t="s">
        <v>596</v>
      </c>
      <c r="N225" t="s">
        <v>163</v>
      </c>
      <c r="P225" t="s">
        <v>39</v>
      </c>
      <c r="Q225" t="s">
        <v>439</v>
      </c>
      <c r="R225" t="s">
        <v>606</v>
      </c>
      <c r="S225" t="s">
        <v>607</v>
      </c>
      <c r="T225" t="s">
        <v>605</v>
      </c>
    </row>
    <row r="226" spans="1:20" x14ac:dyDescent="0.3">
      <c r="A226" t="s">
        <v>600</v>
      </c>
      <c r="B226">
        <v>1330</v>
      </c>
      <c r="C226">
        <v>110</v>
      </c>
      <c r="H226" s="13">
        <v>25.849</v>
      </c>
      <c r="I226" s="13">
        <v>-17.756</v>
      </c>
      <c r="K226" t="s">
        <v>38</v>
      </c>
      <c r="M226" t="s">
        <v>596</v>
      </c>
      <c r="N226" t="s">
        <v>163</v>
      </c>
      <c r="P226" t="s">
        <v>39</v>
      </c>
      <c r="Q226" t="s">
        <v>439</v>
      </c>
      <c r="R226" t="s">
        <v>606</v>
      </c>
      <c r="S226" t="s">
        <v>607</v>
      </c>
      <c r="T226" t="s">
        <v>605</v>
      </c>
    </row>
    <row r="227" spans="1:20" x14ac:dyDescent="0.3">
      <c r="A227" t="s">
        <v>601</v>
      </c>
      <c r="B227">
        <v>1200</v>
      </c>
      <c r="C227">
        <v>95</v>
      </c>
      <c r="H227" s="13">
        <v>25.849</v>
      </c>
      <c r="I227" s="13">
        <v>-17.756</v>
      </c>
      <c r="K227" t="s">
        <v>38</v>
      </c>
      <c r="M227" t="s">
        <v>596</v>
      </c>
      <c r="N227" t="s">
        <v>163</v>
      </c>
      <c r="P227" t="s">
        <v>39</v>
      </c>
      <c r="Q227" t="s">
        <v>439</v>
      </c>
      <c r="R227" t="s">
        <v>606</v>
      </c>
      <c r="S227" t="s">
        <v>607</v>
      </c>
      <c r="T227" t="s">
        <v>605</v>
      </c>
    </row>
    <row r="228" spans="1:20" x14ac:dyDescent="0.3">
      <c r="A228" t="s">
        <v>602</v>
      </c>
      <c r="B228">
        <v>1170</v>
      </c>
      <c r="C228">
        <v>90</v>
      </c>
      <c r="H228" s="13">
        <v>25.849</v>
      </c>
      <c r="I228" s="13">
        <v>-17.756</v>
      </c>
      <c r="K228" t="s">
        <v>38</v>
      </c>
      <c r="M228" t="s">
        <v>596</v>
      </c>
      <c r="N228" t="s">
        <v>163</v>
      </c>
      <c r="P228" t="s">
        <v>39</v>
      </c>
      <c r="Q228" t="s">
        <v>439</v>
      </c>
      <c r="R228" t="s">
        <v>606</v>
      </c>
      <c r="S228" t="s">
        <v>607</v>
      </c>
      <c r="T228" t="s">
        <v>605</v>
      </c>
    </row>
    <row r="229" spans="1:20" x14ac:dyDescent="0.3">
      <c r="A229" t="s">
        <v>603</v>
      </c>
      <c r="B229">
        <v>1090</v>
      </c>
      <c r="C229">
        <v>95</v>
      </c>
      <c r="H229" s="13">
        <v>25.849</v>
      </c>
      <c r="I229" s="13">
        <v>-17.756</v>
      </c>
      <c r="K229" t="s">
        <v>38</v>
      </c>
      <c r="M229" t="s">
        <v>596</v>
      </c>
      <c r="N229" t="s">
        <v>163</v>
      </c>
      <c r="P229" t="s">
        <v>39</v>
      </c>
      <c r="Q229" t="s">
        <v>439</v>
      </c>
      <c r="R229" t="s">
        <v>606</v>
      </c>
      <c r="S229" t="s">
        <v>607</v>
      </c>
      <c r="T229" t="s">
        <v>605</v>
      </c>
    </row>
    <row r="230" spans="1:20" x14ac:dyDescent="0.3">
      <c r="A230" t="s">
        <v>604</v>
      </c>
      <c r="B230">
        <v>1290</v>
      </c>
      <c r="C230">
        <v>120</v>
      </c>
      <c r="H230" s="13">
        <v>25.849</v>
      </c>
      <c r="I230" s="13">
        <v>-17.756</v>
      </c>
      <c r="K230" t="s">
        <v>38</v>
      </c>
      <c r="M230" t="s">
        <v>596</v>
      </c>
      <c r="N230" t="s">
        <v>163</v>
      </c>
      <c r="P230" t="s">
        <v>39</v>
      </c>
      <c r="Q230" t="s">
        <v>439</v>
      </c>
      <c r="R230" t="s">
        <v>606</v>
      </c>
      <c r="S230" t="s">
        <v>607</v>
      </c>
      <c r="T230" t="s">
        <v>605</v>
      </c>
    </row>
    <row r="231" spans="1:20" x14ac:dyDescent="0.3">
      <c r="A231" t="s">
        <v>609</v>
      </c>
      <c r="B231">
        <v>1120</v>
      </c>
      <c r="C231">
        <v>200</v>
      </c>
      <c r="H231" s="13">
        <v>28.8</v>
      </c>
      <c r="I231" s="13">
        <v>-16.2</v>
      </c>
      <c r="K231" t="s">
        <v>38</v>
      </c>
      <c r="M231" t="s">
        <v>608</v>
      </c>
      <c r="N231" t="s">
        <v>163</v>
      </c>
      <c r="P231" t="s">
        <v>39</v>
      </c>
      <c r="Q231" t="s">
        <v>439</v>
      </c>
      <c r="R231" t="s">
        <v>606</v>
      </c>
      <c r="S231" t="s">
        <v>607</v>
      </c>
    </row>
    <row r="232" spans="1:20" x14ac:dyDescent="0.3">
      <c r="A232" t="s">
        <v>610</v>
      </c>
      <c r="B232">
        <v>1150</v>
      </c>
      <c r="C232">
        <v>100</v>
      </c>
      <c r="H232" s="13">
        <v>28.8</v>
      </c>
      <c r="I232" s="13">
        <v>-16.2</v>
      </c>
      <c r="K232" t="s">
        <v>38</v>
      </c>
      <c r="M232" t="s">
        <v>608</v>
      </c>
      <c r="N232" t="s">
        <v>163</v>
      </c>
      <c r="P232" t="s">
        <v>39</v>
      </c>
      <c r="Q232" t="s">
        <v>439</v>
      </c>
      <c r="R232" t="s">
        <v>606</v>
      </c>
      <c r="S232" t="s">
        <v>607</v>
      </c>
    </row>
    <row r="233" spans="1:20" x14ac:dyDescent="0.3">
      <c r="A233" t="s">
        <v>611</v>
      </c>
      <c r="B233">
        <v>965</v>
      </c>
      <c r="C233">
        <v>100</v>
      </c>
      <c r="H233" s="13">
        <v>28.8</v>
      </c>
      <c r="I233" s="13">
        <v>-16.2</v>
      </c>
      <c r="K233" t="s">
        <v>38</v>
      </c>
      <c r="M233" t="s">
        <v>608</v>
      </c>
      <c r="N233" t="s">
        <v>163</v>
      </c>
      <c r="P233" t="s">
        <v>39</v>
      </c>
      <c r="Q233" t="s">
        <v>439</v>
      </c>
      <c r="R233" t="s">
        <v>606</v>
      </c>
      <c r="S233" t="s">
        <v>607</v>
      </c>
    </row>
    <row r="234" spans="1:20" x14ac:dyDescent="0.3">
      <c r="A234" t="s">
        <v>612</v>
      </c>
      <c r="B234">
        <v>1270</v>
      </c>
      <c r="C234">
        <v>40</v>
      </c>
      <c r="H234" s="13">
        <v>28.8</v>
      </c>
      <c r="I234" s="13">
        <v>-16.2</v>
      </c>
      <c r="K234" t="s">
        <v>38</v>
      </c>
      <c r="M234" t="s">
        <v>608</v>
      </c>
      <c r="N234" t="s">
        <v>163</v>
      </c>
      <c r="P234" t="s">
        <v>39</v>
      </c>
      <c r="Q234" t="s">
        <v>439</v>
      </c>
      <c r="R234" t="s">
        <v>606</v>
      </c>
      <c r="S234" t="s">
        <v>607</v>
      </c>
    </row>
    <row r="235" spans="1:20" x14ac:dyDescent="0.3">
      <c r="A235" t="s">
        <v>617</v>
      </c>
      <c r="B235">
        <v>1650</v>
      </c>
      <c r="C235">
        <v>90</v>
      </c>
      <c r="D235" t="s">
        <v>25</v>
      </c>
      <c r="H235" s="13">
        <v>26.5</v>
      </c>
      <c r="I235" s="13">
        <v>-17.05</v>
      </c>
      <c r="K235" t="s">
        <v>38</v>
      </c>
      <c r="M235" t="s">
        <v>613</v>
      </c>
      <c r="N235" t="s">
        <v>163</v>
      </c>
      <c r="P235" t="s">
        <v>39</v>
      </c>
      <c r="R235" t="s">
        <v>614</v>
      </c>
      <c r="S235" t="s">
        <v>607</v>
      </c>
      <c r="T235" t="s">
        <v>630</v>
      </c>
    </row>
    <row r="236" spans="1:20" x14ac:dyDescent="0.3">
      <c r="A236" t="s">
        <v>616</v>
      </c>
      <c r="B236">
        <v>1050</v>
      </c>
      <c r="C236">
        <v>100</v>
      </c>
      <c r="D236" t="s">
        <v>25</v>
      </c>
      <c r="H236" s="13">
        <v>26.5</v>
      </c>
      <c r="I236" s="13">
        <v>-17.05</v>
      </c>
      <c r="K236" t="s">
        <v>38</v>
      </c>
      <c r="M236" t="s">
        <v>613</v>
      </c>
      <c r="N236" t="s">
        <v>163</v>
      </c>
      <c r="P236" t="s">
        <v>39</v>
      </c>
      <c r="R236" t="s">
        <v>614</v>
      </c>
      <c r="S236" t="s">
        <v>607</v>
      </c>
    </row>
    <row r="237" spans="1:20" x14ac:dyDescent="0.3">
      <c r="A237" t="s">
        <v>615</v>
      </c>
      <c r="B237">
        <v>870</v>
      </c>
      <c r="C237">
        <v>90</v>
      </c>
      <c r="D237" t="s">
        <v>25</v>
      </c>
      <c r="H237" s="13">
        <v>26.5</v>
      </c>
      <c r="I237" s="13">
        <v>-17.05</v>
      </c>
      <c r="K237" t="s">
        <v>38</v>
      </c>
      <c r="M237" t="s">
        <v>613</v>
      </c>
      <c r="N237" t="s">
        <v>163</v>
      </c>
      <c r="P237" t="s">
        <v>39</v>
      </c>
      <c r="R237" t="s">
        <v>614</v>
      </c>
      <c r="S237" t="s">
        <v>607</v>
      </c>
    </row>
    <row r="238" spans="1:20" x14ac:dyDescent="0.3">
      <c r="A238" t="s">
        <v>618</v>
      </c>
      <c r="B238">
        <v>1160</v>
      </c>
      <c r="C238">
        <v>90</v>
      </c>
      <c r="D238" t="s">
        <v>25</v>
      </c>
      <c r="H238" s="13">
        <v>26.5</v>
      </c>
      <c r="I238" s="13">
        <v>-17.05</v>
      </c>
      <c r="K238" t="s">
        <v>38</v>
      </c>
      <c r="M238" t="s">
        <v>613</v>
      </c>
      <c r="N238" t="s">
        <v>163</v>
      </c>
      <c r="P238" t="s">
        <v>39</v>
      </c>
      <c r="R238" t="s">
        <v>614</v>
      </c>
      <c r="S238" t="s">
        <v>607</v>
      </c>
    </row>
    <row r="239" spans="1:20" x14ac:dyDescent="0.3">
      <c r="A239" t="s">
        <v>619</v>
      </c>
      <c r="B239">
        <v>1495</v>
      </c>
      <c r="C239">
        <v>95</v>
      </c>
      <c r="D239" t="s">
        <v>25</v>
      </c>
      <c r="H239" s="13">
        <v>26.5</v>
      </c>
      <c r="I239" s="13">
        <v>-17.05</v>
      </c>
      <c r="K239" t="s">
        <v>38</v>
      </c>
      <c r="M239" t="s">
        <v>613</v>
      </c>
      <c r="N239" t="s">
        <v>163</v>
      </c>
      <c r="P239" t="s">
        <v>39</v>
      </c>
      <c r="R239" t="s">
        <v>575</v>
      </c>
      <c r="S239" s="7" t="s">
        <v>576</v>
      </c>
    </row>
    <row r="240" spans="1:20" x14ac:dyDescent="0.3">
      <c r="A240" t="s">
        <v>620</v>
      </c>
      <c r="B240">
        <v>885</v>
      </c>
      <c r="C240">
        <v>120</v>
      </c>
      <c r="D240" t="s">
        <v>25</v>
      </c>
      <c r="H240" s="13">
        <v>26.5</v>
      </c>
      <c r="I240" s="13">
        <v>-17.05</v>
      </c>
      <c r="K240" t="s">
        <v>38</v>
      </c>
      <c r="M240" t="s">
        <v>613</v>
      </c>
      <c r="N240" t="s">
        <v>163</v>
      </c>
      <c r="P240" t="s">
        <v>39</v>
      </c>
      <c r="R240" t="s">
        <v>575</v>
      </c>
      <c r="S240" s="7" t="s">
        <v>576</v>
      </c>
    </row>
    <row r="241" spans="1:20" x14ac:dyDescent="0.3">
      <c r="A241" t="s">
        <v>621</v>
      </c>
      <c r="B241">
        <v>653</v>
      </c>
      <c r="C241">
        <v>17</v>
      </c>
      <c r="D241" t="s">
        <v>566</v>
      </c>
      <c r="H241" s="13">
        <v>26.5</v>
      </c>
      <c r="I241" s="13">
        <v>-17.05</v>
      </c>
      <c r="K241" t="s">
        <v>38</v>
      </c>
      <c r="M241" t="s">
        <v>613</v>
      </c>
      <c r="N241" t="s">
        <v>163</v>
      </c>
      <c r="P241" t="s">
        <v>39</v>
      </c>
      <c r="R241" t="s">
        <v>622</v>
      </c>
      <c r="S241" s="7" t="s">
        <v>623</v>
      </c>
    </row>
    <row r="242" spans="1:20" x14ac:dyDescent="0.3">
      <c r="A242" t="s">
        <v>624</v>
      </c>
      <c r="B242">
        <v>606</v>
      </c>
      <c r="C242">
        <v>15</v>
      </c>
      <c r="D242" t="s">
        <v>625</v>
      </c>
      <c r="H242" s="13">
        <v>26.5</v>
      </c>
      <c r="I242" s="13">
        <v>-17.05</v>
      </c>
      <c r="K242" t="s">
        <v>38</v>
      </c>
      <c r="M242" t="s">
        <v>613</v>
      </c>
      <c r="N242" t="s">
        <v>163</v>
      </c>
      <c r="P242" t="s">
        <v>39</v>
      </c>
      <c r="R242" t="s">
        <v>622</v>
      </c>
      <c r="S242" s="7" t="s">
        <v>623</v>
      </c>
    </row>
    <row r="243" spans="1:20" x14ac:dyDescent="0.3">
      <c r="A243" t="s">
        <v>626</v>
      </c>
      <c r="B243">
        <v>683</v>
      </c>
      <c r="C243">
        <v>15</v>
      </c>
      <c r="D243" t="s">
        <v>566</v>
      </c>
      <c r="H243" s="13">
        <v>26.5</v>
      </c>
      <c r="I243" s="13">
        <v>-17.05</v>
      </c>
      <c r="K243" t="s">
        <v>38</v>
      </c>
      <c r="M243" t="s">
        <v>613</v>
      </c>
      <c r="N243" t="s">
        <v>163</v>
      </c>
      <c r="P243" t="s">
        <v>39</v>
      </c>
      <c r="R243" t="s">
        <v>622</v>
      </c>
      <c r="S243" s="7" t="s">
        <v>623</v>
      </c>
    </row>
    <row r="244" spans="1:20" x14ac:dyDescent="0.3">
      <c r="A244" t="s">
        <v>627</v>
      </c>
      <c r="B244">
        <v>684</v>
      </c>
      <c r="C244">
        <v>16</v>
      </c>
      <c r="D244" t="s">
        <v>566</v>
      </c>
      <c r="H244" s="13">
        <v>26.5</v>
      </c>
      <c r="I244" s="13">
        <v>-17.05</v>
      </c>
      <c r="K244" t="s">
        <v>38</v>
      </c>
      <c r="M244" t="s">
        <v>613</v>
      </c>
      <c r="N244" t="s">
        <v>163</v>
      </c>
      <c r="P244" t="s">
        <v>39</v>
      </c>
      <c r="R244" t="s">
        <v>622</v>
      </c>
      <c r="S244" s="7" t="s">
        <v>623</v>
      </c>
    </row>
    <row r="245" spans="1:20" x14ac:dyDescent="0.3">
      <c r="A245" t="s">
        <v>629</v>
      </c>
      <c r="B245">
        <v>850</v>
      </c>
      <c r="C245">
        <v>17</v>
      </c>
      <c r="D245" t="s">
        <v>625</v>
      </c>
      <c r="H245" s="13">
        <v>26.5</v>
      </c>
      <c r="I245" s="13">
        <v>-17.05</v>
      </c>
      <c r="K245" t="s">
        <v>38</v>
      </c>
      <c r="M245" t="s">
        <v>613</v>
      </c>
      <c r="N245" t="s">
        <v>163</v>
      </c>
      <c r="P245" t="s">
        <v>39</v>
      </c>
      <c r="R245" t="s">
        <v>622</v>
      </c>
      <c r="S245" s="7" t="s">
        <v>623</v>
      </c>
    </row>
    <row r="246" spans="1:20" x14ac:dyDescent="0.3">
      <c r="A246" t="s">
        <v>628</v>
      </c>
      <c r="B246">
        <v>851</v>
      </c>
      <c r="C246">
        <v>15</v>
      </c>
      <c r="D246" t="s">
        <v>566</v>
      </c>
      <c r="H246" s="13">
        <v>26.5</v>
      </c>
      <c r="I246" s="13">
        <v>-17.05</v>
      </c>
      <c r="K246" t="s">
        <v>38</v>
      </c>
      <c r="M246" t="s">
        <v>613</v>
      </c>
      <c r="N246" t="s">
        <v>163</v>
      </c>
      <c r="P246" t="s">
        <v>39</v>
      </c>
      <c r="R246" t="s">
        <v>622</v>
      </c>
      <c r="S246" s="7" t="s">
        <v>623</v>
      </c>
    </row>
    <row r="247" spans="1:20" x14ac:dyDescent="0.3">
      <c r="A247" t="s">
        <v>631</v>
      </c>
      <c r="B247">
        <v>715</v>
      </c>
      <c r="C247">
        <v>100</v>
      </c>
      <c r="H247" s="13">
        <v>26.5</v>
      </c>
      <c r="I247" s="13">
        <v>-17.05</v>
      </c>
      <c r="K247" t="s">
        <v>38</v>
      </c>
      <c r="M247" t="s">
        <v>613</v>
      </c>
      <c r="N247" t="s">
        <v>163</v>
      </c>
      <c r="P247" t="s">
        <v>39</v>
      </c>
      <c r="R247" t="s">
        <v>222</v>
      </c>
      <c r="S247" s="7" t="s">
        <v>223</v>
      </c>
    </row>
    <row r="248" spans="1:20" x14ac:dyDescent="0.3">
      <c r="A248" t="s">
        <v>632</v>
      </c>
      <c r="B248">
        <v>1440</v>
      </c>
      <c r="C248">
        <v>100</v>
      </c>
      <c r="D248" t="s">
        <v>566</v>
      </c>
      <c r="H248" s="13">
        <v>27.83</v>
      </c>
      <c r="I248" s="13">
        <v>-15.92</v>
      </c>
      <c r="K248" t="s">
        <v>38</v>
      </c>
      <c r="M248" t="s">
        <v>633</v>
      </c>
      <c r="N248" t="s">
        <v>163</v>
      </c>
      <c r="P248" t="s">
        <v>39</v>
      </c>
      <c r="R248" t="s">
        <v>614</v>
      </c>
      <c r="S248" t="s">
        <v>607</v>
      </c>
      <c r="T248" t="s">
        <v>634</v>
      </c>
    </row>
    <row r="249" spans="1:20" x14ac:dyDescent="0.3">
      <c r="A249" t="s">
        <v>637</v>
      </c>
      <c r="B249">
        <v>840</v>
      </c>
      <c r="C249">
        <v>85</v>
      </c>
      <c r="H249" s="13">
        <v>28.777000000000001</v>
      </c>
      <c r="I249" s="13">
        <v>-13.194000000000001</v>
      </c>
      <c r="K249" t="s">
        <v>498</v>
      </c>
      <c r="M249" t="s">
        <v>591</v>
      </c>
      <c r="N249" t="s">
        <v>163</v>
      </c>
      <c r="P249" t="s">
        <v>39</v>
      </c>
      <c r="Q249" t="s">
        <v>439</v>
      </c>
      <c r="R249" t="s">
        <v>242</v>
      </c>
      <c r="S249" s="7" t="s">
        <v>243</v>
      </c>
    </row>
    <row r="250" spans="1:20" x14ac:dyDescent="0.3">
      <c r="A250" t="s">
        <v>638</v>
      </c>
      <c r="B250">
        <v>795</v>
      </c>
      <c r="C250">
        <v>85</v>
      </c>
      <c r="H250" s="13">
        <v>28.777000000000001</v>
      </c>
      <c r="I250" s="13">
        <v>-13.194000000000001</v>
      </c>
      <c r="K250" t="s">
        <v>498</v>
      </c>
      <c r="M250" t="s">
        <v>591</v>
      </c>
      <c r="N250" t="s">
        <v>163</v>
      </c>
      <c r="P250" t="s">
        <v>39</v>
      </c>
      <c r="Q250" t="s">
        <v>439</v>
      </c>
      <c r="R250" t="s">
        <v>242</v>
      </c>
      <c r="S250" s="7" t="s">
        <v>243</v>
      </c>
    </row>
    <row r="251" spans="1:20" x14ac:dyDescent="0.3">
      <c r="A251" t="s">
        <v>642</v>
      </c>
      <c r="B251">
        <v>1510</v>
      </c>
      <c r="C251">
        <v>85</v>
      </c>
      <c r="D251" t="s">
        <v>649</v>
      </c>
      <c r="H251" s="13">
        <v>27.28</v>
      </c>
      <c r="I251" s="13">
        <v>-16.75</v>
      </c>
      <c r="K251" t="s">
        <v>38</v>
      </c>
      <c r="M251" t="s">
        <v>639</v>
      </c>
      <c r="N251" t="s">
        <v>163</v>
      </c>
      <c r="P251" t="s">
        <v>39</v>
      </c>
      <c r="R251" t="s">
        <v>640</v>
      </c>
      <c r="S251" t="s">
        <v>641</v>
      </c>
      <c r="T251" t="s">
        <v>650</v>
      </c>
    </row>
    <row r="252" spans="1:20" x14ac:dyDescent="0.3">
      <c r="A252" t="s">
        <v>643</v>
      </c>
      <c r="B252">
        <v>1410</v>
      </c>
      <c r="C252">
        <v>85</v>
      </c>
      <c r="D252" t="s">
        <v>25</v>
      </c>
      <c r="H252" s="13">
        <v>27.28</v>
      </c>
      <c r="I252" s="13">
        <v>-16.75</v>
      </c>
      <c r="K252" t="s">
        <v>38</v>
      </c>
      <c r="M252" t="s">
        <v>639</v>
      </c>
      <c r="N252" t="s">
        <v>163</v>
      </c>
      <c r="P252" t="s">
        <v>39</v>
      </c>
      <c r="R252" t="s">
        <v>640</v>
      </c>
      <c r="S252" t="s">
        <v>641</v>
      </c>
      <c r="T252" t="s">
        <v>651</v>
      </c>
    </row>
    <row r="253" spans="1:20" x14ac:dyDescent="0.3">
      <c r="A253" t="s">
        <v>644</v>
      </c>
      <c r="B253">
        <v>1200</v>
      </c>
      <c r="C253">
        <v>110</v>
      </c>
      <c r="H253" s="13">
        <v>27.28</v>
      </c>
      <c r="I253" s="13">
        <v>-16.75</v>
      </c>
      <c r="K253" t="s">
        <v>38</v>
      </c>
      <c r="M253" t="s">
        <v>639</v>
      </c>
      <c r="N253" t="s">
        <v>163</v>
      </c>
      <c r="P253" t="s">
        <v>39</v>
      </c>
      <c r="R253" t="s">
        <v>640</v>
      </c>
      <c r="S253" t="s">
        <v>641</v>
      </c>
      <c r="T253" t="s">
        <v>651</v>
      </c>
    </row>
    <row r="254" spans="1:20" x14ac:dyDescent="0.3">
      <c r="A254" t="s">
        <v>645</v>
      </c>
      <c r="B254">
        <v>1100</v>
      </c>
      <c r="C254">
        <v>110</v>
      </c>
      <c r="H254" s="13">
        <v>27.28</v>
      </c>
      <c r="I254" s="13">
        <v>-16.75</v>
      </c>
      <c r="K254" t="s">
        <v>38</v>
      </c>
      <c r="M254" t="s">
        <v>639</v>
      </c>
      <c r="N254" t="s">
        <v>163</v>
      </c>
      <c r="P254" t="s">
        <v>39</v>
      </c>
      <c r="R254" t="s">
        <v>640</v>
      </c>
      <c r="S254" t="s">
        <v>641</v>
      </c>
      <c r="T254" t="s">
        <v>653</v>
      </c>
    </row>
    <row r="255" spans="1:20" x14ac:dyDescent="0.3">
      <c r="A255" t="s">
        <v>341</v>
      </c>
      <c r="B255">
        <v>1070</v>
      </c>
      <c r="C255">
        <v>105</v>
      </c>
      <c r="H255" s="13">
        <v>27.28</v>
      </c>
      <c r="I255" s="13">
        <v>-16.75</v>
      </c>
      <c r="K255" t="s">
        <v>38</v>
      </c>
      <c r="M255" t="s">
        <v>639</v>
      </c>
      <c r="N255" t="s">
        <v>163</v>
      </c>
      <c r="P255" t="s">
        <v>39</v>
      </c>
      <c r="R255" t="s">
        <v>640</v>
      </c>
      <c r="S255" t="s">
        <v>641</v>
      </c>
      <c r="T255" t="s">
        <v>654</v>
      </c>
    </row>
    <row r="256" spans="1:20" x14ac:dyDescent="0.3">
      <c r="A256" t="s">
        <v>646</v>
      </c>
      <c r="B256">
        <v>1030</v>
      </c>
      <c r="C256">
        <v>60</v>
      </c>
      <c r="H256" s="13">
        <v>27.28</v>
      </c>
      <c r="I256" s="13">
        <v>-16.75</v>
      </c>
      <c r="K256" t="s">
        <v>38</v>
      </c>
      <c r="M256" t="s">
        <v>639</v>
      </c>
      <c r="N256" t="s">
        <v>163</v>
      </c>
      <c r="P256" t="s">
        <v>39</v>
      </c>
      <c r="R256" t="s">
        <v>640</v>
      </c>
      <c r="S256" t="s">
        <v>641</v>
      </c>
      <c r="T256" t="s">
        <v>651</v>
      </c>
    </row>
    <row r="257" spans="1:20" x14ac:dyDescent="0.3">
      <c r="A257" t="s">
        <v>647</v>
      </c>
      <c r="B257">
        <v>935</v>
      </c>
      <c r="C257">
        <v>105</v>
      </c>
      <c r="H257" s="13">
        <v>27.28</v>
      </c>
      <c r="I257" s="13">
        <v>-16.75</v>
      </c>
      <c r="K257" t="s">
        <v>38</v>
      </c>
      <c r="M257" t="s">
        <v>639</v>
      </c>
      <c r="N257" t="s">
        <v>163</v>
      </c>
      <c r="P257" t="s">
        <v>39</v>
      </c>
      <c r="R257" t="s">
        <v>640</v>
      </c>
      <c r="S257" t="s">
        <v>641</v>
      </c>
      <c r="T257" t="s">
        <v>652</v>
      </c>
    </row>
    <row r="258" spans="1:20" x14ac:dyDescent="0.3">
      <c r="A258" t="s">
        <v>648</v>
      </c>
      <c r="B258">
        <v>825</v>
      </c>
      <c r="C258">
        <v>105</v>
      </c>
      <c r="H258" s="13">
        <v>27.28</v>
      </c>
      <c r="I258" s="13">
        <v>-16.75</v>
      </c>
      <c r="K258" t="s">
        <v>38</v>
      </c>
      <c r="M258" t="s">
        <v>639</v>
      </c>
      <c r="N258" t="s">
        <v>163</v>
      </c>
      <c r="P258" t="s">
        <v>39</v>
      </c>
      <c r="R258" t="s">
        <v>640</v>
      </c>
      <c r="S258" t="s">
        <v>641</v>
      </c>
      <c r="T258" t="s">
        <v>652</v>
      </c>
    </row>
    <row r="259" spans="1:20" x14ac:dyDescent="0.3">
      <c r="A259" t="s">
        <v>655</v>
      </c>
      <c r="B259">
        <v>1730</v>
      </c>
      <c r="C259">
        <v>90</v>
      </c>
      <c r="D259" t="s">
        <v>25</v>
      </c>
      <c r="H259">
        <v>34.67</v>
      </c>
      <c r="I259">
        <v>-14.58</v>
      </c>
      <c r="K259" t="s">
        <v>38</v>
      </c>
      <c r="M259" t="s">
        <v>656</v>
      </c>
      <c r="N259" t="s">
        <v>90</v>
      </c>
      <c r="P259" t="s">
        <v>39</v>
      </c>
      <c r="Q259" t="s">
        <v>439</v>
      </c>
      <c r="R259" t="s">
        <v>657</v>
      </c>
      <c r="S259" s="7" t="s">
        <v>658</v>
      </c>
      <c r="T259" s="17" t="s">
        <v>659</v>
      </c>
    </row>
    <row r="260" spans="1:20" x14ac:dyDescent="0.3">
      <c r="A260" t="s">
        <v>661</v>
      </c>
      <c r="B260">
        <v>1150</v>
      </c>
      <c r="C260">
        <v>115</v>
      </c>
      <c r="H260" s="13">
        <v>28.5</v>
      </c>
      <c r="I260" s="13">
        <v>-20.533000000000001</v>
      </c>
      <c r="K260" t="s">
        <v>38</v>
      </c>
      <c r="M260" t="s">
        <v>660</v>
      </c>
      <c r="N260" t="s">
        <v>178</v>
      </c>
      <c r="P260" t="s">
        <v>39</v>
      </c>
      <c r="R260" t="s">
        <v>242</v>
      </c>
      <c r="S260" s="7" t="s">
        <v>243</v>
      </c>
      <c r="T260" s="17" t="s">
        <v>663</v>
      </c>
    </row>
    <row r="261" spans="1:20" x14ac:dyDescent="0.3">
      <c r="A261" t="s">
        <v>662</v>
      </c>
      <c r="B261">
        <v>1060</v>
      </c>
      <c r="C261">
        <v>115</v>
      </c>
      <c r="H261" s="13">
        <v>28.5</v>
      </c>
      <c r="I261" s="13">
        <v>-20.533000000000001</v>
      </c>
      <c r="K261" t="s">
        <v>38</v>
      </c>
      <c r="M261" t="s">
        <v>660</v>
      </c>
      <c r="N261" t="s">
        <v>178</v>
      </c>
      <c r="P261" t="s">
        <v>39</v>
      </c>
      <c r="R261" t="s">
        <v>242</v>
      </c>
      <c r="S261" s="7" t="s">
        <v>243</v>
      </c>
      <c r="T261" s="17" t="s">
        <v>663</v>
      </c>
    </row>
    <row r="269" spans="1:20" x14ac:dyDescent="0.3">
      <c r="S269" s="11"/>
    </row>
  </sheetData>
  <autoFilter ref="A1:U261" xr:uid="{E168D24B-2DCA-4AA5-9768-AE7B822E6C83}"/>
  <phoneticPr fontId="3" type="noConversion"/>
  <hyperlinks>
    <hyperlink ref="S2" r:id="rId1" xr:uid="{C02C29D8-F2C4-411E-BE0F-C14F29344E0E}"/>
    <hyperlink ref="S3:S8" r:id="rId2" display="https://www.cambridge.org/core/journals/antiquity/article/transition-to-farming-in-eastern-africa-new-faunal-and-dating-evidence-from-wadh-lango-and-usenge-kenya/6349026A5CED7E35C0D7EC4BBF2EFB38  " xr:uid="{4FBBCED8-09E8-4411-B5EA-AB56CB5DA140}"/>
    <hyperlink ref="S8" r:id="rId3" display="https://www.cambridge.org/core/journals/antiquity/article/transition-to-farming-in-eastern-africa-new-faunal-and-dating-evidence-from-wadh-lango-and-usenge-kenya/6349026A5CED7E35C0D7EC4BBF2EFB38  " xr:uid="{8F7308C9-4088-469D-9EB1-F91F6D1731E9}"/>
    <hyperlink ref="S9" r:id="rId4" xr:uid="{5B57E437-851B-42A0-A36D-B89043D5C2CB}"/>
    <hyperlink ref="S11" r:id="rId5" xr:uid="{4BF3F6F8-6CE5-4CC8-8E95-32BD195193F9}"/>
    <hyperlink ref="S12" r:id="rId6" display="https://www.cambridge.org/core/journals/radiocarbon/article/ucla-radiocarbon-dates-iv/C02AA1800F2DADDFFAF23A559825B841 " xr:uid="{5C8B1F3A-D4E3-4A43-9CD5-8ADB2D7AB905}"/>
    <hyperlink ref="S15" r:id="rId7" xr:uid="{61F64A7F-7C4B-48EA-9011-591E88A6FA58}"/>
    <hyperlink ref="S14" r:id="rId8" display="https://www.cambridge.org/core/journals/radiocarbon/article/ucla-radiocarbon-dates-iv/C02AA1800F2DADDFFAF23A559825B841 " xr:uid="{30FECBF5-CF18-4DC9-A585-08EC1ACC0BF3}"/>
    <hyperlink ref="S10" r:id="rId9" display="https://www.cambridge.org/core/journals/radiocarbon/article/ucla-radiocarbon-dates-iv/C02AA1800F2DADDFFAF23A559825B841 " xr:uid="{61EE38B4-DFBF-490E-9AFF-135C13140D24}"/>
    <hyperlink ref="S13" r:id="rId10" display="https://www.cambridge.org/core/journals/radiocarbon/article/ucla-radiocarbon-dates-iv/C02AA1800F2DADDFFAF23A559825B841 " xr:uid="{23BD8B92-90AC-40D7-B219-DB66FDB08B43}"/>
    <hyperlink ref="S16" r:id="rId11" xr:uid="{029E6CFA-B598-4A35-99B9-6747D4C39F84}"/>
    <hyperlink ref="S17" r:id="rId12" xr:uid="{3838DA4B-47CF-42A6-A6EB-98AA51CADD17}"/>
    <hyperlink ref="S18" r:id="rId13" xr:uid="{985B2B09-1231-48BE-BB68-C84F4899D8D8}"/>
    <hyperlink ref="S19" r:id="rId14" xr:uid="{6A390701-7C51-4E01-A739-E24AF93777DD}"/>
    <hyperlink ref="S20" r:id="rId15" display="https://www.jstor.org/stable/181297" xr:uid="{D080A84F-B007-4BF6-A47C-466CE5B59F66}"/>
    <hyperlink ref="S21" r:id="rId16" xr:uid="{40B51FA7-7579-4C41-80F9-419332A97B6A}"/>
    <hyperlink ref="S22" r:id="rId17" xr:uid="{927D98A5-2633-4140-A358-6FFB1595643F}"/>
    <hyperlink ref="S23" r:id="rId18" xr:uid="{EC33E970-00E8-4AB2-9025-2E8FE4412F93}"/>
    <hyperlink ref="S24" r:id="rId19" xr:uid="{D87E0B80-BCA7-4D90-88C0-13682A5C3800}"/>
    <hyperlink ref="S25" r:id="rId20" xr:uid="{E0937D40-6DEC-461E-A874-EEAA00F1045F}"/>
    <hyperlink ref="S26" r:id="rId21" xr:uid="{B0CFC8AB-39AE-44CA-8948-923A4C84BF57}"/>
    <hyperlink ref="S27" r:id="rId22" xr:uid="{954CF234-D0EA-47BD-B8AB-B82CE8C64B07}"/>
    <hyperlink ref="S28" r:id="rId23" xr:uid="{35A49DC3-5C31-4EC8-A435-9FA2C5D9D487}"/>
    <hyperlink ref="S29" r:id="rId24" xr:uid="{7D2EDC9B-5365-4CA9-AEB9-91B29C49D9A0}"/>
    <hyperlink ref="S30" r:id="rId25" xr:uid="{E6E8B256-4B27-459F-B575-DFB51CE0C305}"/>
    <hyperlink ref="S31" r:id="rId26" display="https://www.jstor.org/stable/180964 " xr:uid="{A993E366-AF92-4672-ADCF-C51251CA8C1D}"/>
    <hyperlink ref="S32" r:id="rId27" xr:uid="{9FFC8447-1D9F-4B4F-9FAC-BA39F2A84B6C}"/>
    <hyperlink ref="S33" r:id="rId28" xr:uid="{F5CAF4CC-A154-487F-BE7A-B26AE4DEAA3A}"/>
    <hyperlink ref="S34" r:id="rId29" xr:uid="{57BD0DB9-CEDB-4864-AD35-3ACE3D8B285F}"/>
    <hyperlink ref="S35" r:id="rId30" xr:uid="{22BF6214-88E5-4EAA-B1FE-444C52C10C1C}"/>
    <hyperlink ref="S36" r:id="rId31" xr:uid="{5B93BE1C-1426-4C5D-B085-7ECFE078C2B4}"/>
    <hyperlink ref="S37" r:id="rId32" xr:uid="{6BC97886-3ABD-4C2C-9EE3-280C0BAAF195}"/>
    <hyperlink ref="S38" r:id="rId33" xr:uid="{7EF71C0F-6DCB-456C-9F3B-CDA9FF0A6417}"/>
    <hyperlink ref="S39" r:id="rId34" xr:uid="{30E3B2EC-B6C1-4E76-9D13-5B3B3708B7FA}"/>
    <hyperlink ref="S40" r:id="rId35" xr:uid="{A4C76529-D4D7-4A67-8817-C34294FBB275}"/>
    <hyperlink ref="S41" r:id="rId36" xr:uid="{C047DD97-6096-4AED-84DA-D5094D4FE3D3}"/>
    <hyperlink ref="S42" r:id="rId37" xr:uid="{32303A06-C067-4764-9208-82E344370793}"/>
    <hyperlink ref="S46" r:id="rId38" xr:uid="{8178CB85-E0F1-46CC-8CD2-E40800939740}"/>
    <hyperlink ref="S47" r:id="rId39" xr:uid="{48C5A6EF-5A03-4D1E-858F-3454B1B2885D}"/>
    <hyperlink ref="S45" r:id="rId40" xr:uid="{3EE018C2-99E8-4776-9D2D-F2F847281AC3}"/>
    <hyperlink ref="S49" r:id="rId41" xr:uid="{604A3F74-AD46-46FA-99FA-AB3D73B99EC7}"/>
    <hyperlink ref="S50" r:id="rId42" xr:uid="{E95C2B52-0AD6-4168-B1F7-BE4B8E42B13C}"/>
    <hyperlink ref="S51" r:id="rId43" xr:uid="{B5BD61F4-DC36-49FE-AF1A-2FD0FF5C680A}"/>
    <hyperlink ref="S52" r:id="rId44" xr:uid="{D19ECB46-0929-434F-BE82-A805250808A5}"/>
    <hyperlink ref="S53" r:id="rId45" xr:uid="{BD584096-BBCB-4730-AAD0-CB7D8BC6D633}"/>
    <hyperlink ref="S54" r:id="rId46" xr:uid="{20349A68-A00E-41FE-9741-529628AAC7BB}"/>
    <hyperlink ref="S55" r:id="rId47" xr:uid="{E7FBF2CC-FBDD-40FB-BA95-23A49123BE8A}"/>
    <hyperlink ref="S56" r:id="rId48" xr:uid="{4D1FC28C-A4C8-4DBD-BC25-C8FE65757D35}"/>
    <hyperlink ref="S57" r:id="rId49" xr:uid="{E7327601-0573-423C-B4B1-B28D67F279A3}"/>
    <hyperlink ref="S60" r:id="rId50" xr:uid="{0842586C-2CC4-496F-9D01-8F7772C2F363}"/>
    <hyperlink ref="S61" r:id="rId51" xr:uid="{1F1482AD-65E0-4B08-BE00-965E8CBC86A5}"/>
    <hyperlink ref="S62" r:id="rId52" xr:uid="{AAC21DDC-4A7E-4542-BFF6-073FB431D093}"/>
    <hyperlink ref="S63" r:id="rId53" xr:uid="{0E7F4740-603D-4DF2-9571-AD7BE86830AE}"/>
    <hyperlink ref="S58" r:id="rId54" xr:uid="{016DD451-C61F-4A6C-A52C-0FF1B0C4348B}"/>
    <hyperlink ref="S64" r:id="rId55" xr:uid="{1EB6E829-5DAB-4BB5-87BA-EA2F1D8F45FD}"/>
    <hyperlink ref="S65" r:id="rId56" xr:uid="{4993850B-7856-44F7-9D69-CE71A20D41CB}"/>
    <hyperlink ref="S59" r:id="rId57" xr:uid="{71AB40DC-908B-458D-9719-239D0D00BDAB}"/>
    <hyperlink ref="S68" r:id="rId58" xr:uid="{022EB908-E67A-491D-8C7A-86E9906570EB}"/>
    <hyperlink ref="S67" r:id="rId59" xr:uid="{95B50BF8-51B9-4BB1-8DD2-CFD1C155EAB9}"/>
    <hyperlink ref="S66" r:id="rId60" xr:uid="{B2E0C16A-F713-41ED-A887-585FB64AE05C}"/>
    <hyperlink ref="S69" r:id="rId61" xr:uid="{A87356E3-1AD3-4BE9-97A3-3A0D2C8DD01D}"/>
    <hyperlink ref="S70" r:id="rId62" xr:uid="{976231E0-0BD1-453D-AFD0-DEFEA9374088}"/>
    <hyperlink ref="S72" r:id="rId63" xr:uid="{CC84AE4E-3E18-4AD8-A937-C1C23F3060A4}"/>
    <hyperlink ref="S48" r:id="rId64" xr:uid="{B7A6FD4C-90E7-4F26-B5CA-EEDB01D4BB6C}"/>
    <hyperlink ref="S74" r:id="rId65" xr:uid="{79C60767-262E-4CD5-A9E5-A473D9956131}"/>
    <hyperlink ref="S75" r:id="rId66" xr:uid="{B06B4EAB-A76A-4662-AEB1-C2C09B8366DA}"/>
    <hyperlink ref="S73" r:id="rId67" xr:uid="{448B4884-B00D-458B-A467-501168A8DBC8}"/>
    <hyperlink ref="S76" r:id="rId68" xr:uid="{9BC8B722-8D0F-4E52-A636-9CF75F36304D}"/>
    <hyperlink ref="S77" r:id="rId69" xr:uid="{FF711178-8712-44D0-8E6C-16A25A35F81D}"/>
    <hyperlink ref="S78" r:id="rId70" xr:uid="{FDC9294D-03DD-416C-924A-08049D4D6E51}"/>
    <hyperlink ref="S79" r:id="rId71" xr:uid="{8468A1D0-A3DF-4C06-98F0-F900EF25CC41}"/>
    <hyperlink ref="S80" r:id="rId72" xr:uid="{8D78A430-DAA2-4813-90D4-712F43BDAA11}"/>
    <hyperlink ref="S81" r:id="rId73" xr:uid="{ADBE8A0D-DF38-458A-9F5D-2597D7336EC4}"/>
    <hyperlink ref="S82" r:id="rId74" xr:uid="{D166DCF7-CDEF-44E7-99C0-D0D179C78A93}"/>
    <hyperlink ref="S83" r:id="rId75" xr:uid="{341DEA11-3155-4B47-81FC-FF942989AFA8}"/>
    <hyperlink ref="S84" r:id="rId76" xr:uid="{157409C9-4B11-423F-952F-1696A110FF08}"/>
    <hyperlink ref="S85" r:id="rId77" xr:uid="{EA0F7F8B-4E21-4036-8EEE-452A63557432}"/>
    <hyperlink ref="S86" r:id="rId78" xr:uid="{F3E41572-8629-4C32-BA67-625608C48180}"/>
    <hyperlink ref="S87" r:id="rId79" xr:uid="{8F4A5606-6A9F-40AC-BC39-63DDBFA513DF}"/>
    <hyperlink ref="S88" r:id="rId80" xr:uid="{55679B38-42A2-49A3-B7C6-8C9F67E66CC4}"/>
    <hyperlink ref="S89" r:id="rId81" xr:uid="{F8D581A3-90E8-407F-A5DE-B2976CC8E2F3}"/>
    <hyperlink ref="S90" r:id="rId82" xr:uid="{0DE26768-076F-44AC-811B-98F772ED9D52}"/>
    <hyperlink ref="S91" r:id="rId83" xr:uid="{604A8634-CB13-4FC6-A62D-D04B31CA43C1}"/>
    <hyperlink ref="S92" r:id="rId84" xr:uid="{4FD1F652-416A-4475-BBC4-34BBB5A5257F}"/>
    <hyperlink ref="S93" r:id="rId85" xr:uid="{A5AF207A-7FFB-42B5-8180-8E00DE8C8411}"/>
    <hyperlink ref="S94" r:id="rId86" xr:uid="{FF266853-5FF6-4A67-89D8-DA9511F9FAAC}"/>
    <hyperlink ref="S95" r:id="rId87" xr:uid="{57B50BBD-5C7E-44B6-A0E5-DCE00869173E}"/>
    <hyperlink ref="S96" r:id="rId88" xr:uid="{63DA2E49-866E-422E-8C59-40EE9C04C939}"/>
    <hyperlink ref="S97" r:id="rId89" xr:uid="{4F4A0D47-405A-43F2-9202-FE95B2408297}"/>
    <hyperlink ref="S98" r:id="rId90" xr:uid="{D02A6B66-621F-4FEE-A776-82E80F1FAE0D}"/>
    <hyperlink ref="S99" r:id="rId91" xr:uid="{E012C88C-6D78-4144-A08D-6A778BAFF799}"/>
    <hyperlink ref="S100" r:id="rId92" xr:uid="{448B9B80-8233-404A-91D7-E141915EFBD5}"/>
    <hyperlink ref="S101" r:id="rId93" xr:uid="{D513D8C2-E982-480A-A735-12B2750BB970}"/>
    <hyperlink ref="S102" r:id="rId94" xr:uid="{9527296F-B591-4D5C-A4E0-8BAAE0610A3B}"/>
    <hyperlink ref="S103" r:id="rId95" xr:uid="{E38EC142-BC7E-42B8-839C-1A55067DE391}"/>
    <hyperlink ref="S105" r:id="rId96" xr:uid="{3143E0AE-E270-4099-9F2C-B1060718B861}"/>
    <hyperlink ref="S106" r:id="rId97" xr:uid="{4E03001C-CCC7-4556-8BA4-576E3B267612}"/>
    <hyperlink ref="S107" r:id="rId98" xr:uid="{809FB453-7915-4E4A-AA09-AD4B005EA47C}"/>
    <hyperlink ref="S108" r:id="rId99" xr:uid="{10AB48CB-6713-4D39-8E72-B2AC197CFC18}"/>
    <hyperlink ref="S109" r:id="rId100" xr:uid="{BD6E1318-E2AE-48CE-9A8D-613209109463}"/>
    <hyperlink ref="S110" r:id="rId101" xr:uid="{2959B97C-4B86-4BC5-B883-564B563150BC}"/>
    <hyperlink ref="S111" r:id="rId102" xr:uid="{E860AF12-A9E5-4160-AA15-87D18F7778AA}"/>
    <hyperlink ref="S112" r:id="rId103" xr:uid="{A864755A-D86A-4940-9925-45813844DC32}"/>
    <hyperlink ref="S113" r:id="rId104" xr:uid="{F62C9988-FB6C-4014-ACFD-F21A55593CB9}"/>
    <hyperlink ref="S114" r:id="rId105" xr:uid="{430B7CDC-3B58-4114-87C9-81BC71ED9CFD}"/>
    <hyperlink ref="S115" r:id="rId106" xr:uid="{A2C6CF20-07FE-402F-A2E6-680975FCDC61}"/>
    <hyperlink ref="S104" r:id="rId107" xr:uid="{029392D5-500C-4F7E-852B-302807459A98}"/>
    <hyperlink ref="S116" r:id="rId108" xr:uid="{63A8721C-8E83-45A7-9C41-DDD11B518FE5}"/>
    <hyperlink ref="S117" r:id="rId109" xr:uid="{70EF657A-39DB-4C79-BEB2-C5974847DA61}"/>
    <hyperlink ref="S118" r:id="rId110" xr:uid="{0559C9BC-3161-42AD-AF85-C886E8686681}"/>
    <hyperlink ref="S119" r:id="rId111" xr:uid="{E56E3315-031C-4B66-8A63-1AF497A1E5BA}"/>
    <hyperlink ref="S120" r:id="rId112" xr:uid="{AC8C533D-0600-44FE-961B-4E4C443C8044}"/>
    <hyperlink ref="S121" r:id="rId113" xr:uid="{1BD33384-4798-4AA9-8035-D6414405171F}"/>
    <hyperlink ref="S122" r:id="rId114" xr:uid="{509E1B32-0871-4F03-AFB6-989647E6858A}"/>
    <hyperlink ref="S123" r:id="rId115" xr:uid="{66B05834-44A0-494A-93BB-D8E5D7BF485B}"/>
    <hyperlink ref="S124" r:id="rId116" xr:uid="{224B330D-D64B-4BE7-98DB-04372EF0AD79}"/>
    <hyperlink ref="S125" r:id="rId117" xr:uid="{8041AA2E-B70F-4DC6-BF05-E2A7192E15AC}"/>
    <hyperlink ref="S126" r:id="rId118" xr:uid="{29A88FF7-5D4C-4738-85E6-1A8F40899AFC}"/>
    <hyperlink ref="S127" r:id="rId119" xr:uid="{63A88F80-CE07-4799-A21F-8E53FF7B1D5B}"/>
    <hyperlink ref="S128" r:id="rId120" xr:uid="{44FD3EFC-9431-4096-959B-3BEED81929E4}"/>
    <hyperlink ref="S71" r:id="rId121" xr:uid="{6E5AE2E4-7E2C-4BD8-A554-79AF2439F2CC}"/>
    <hyperlink ref="S129" r:id="rId122" xr:uid="{C6310523-733E-40DB-81EE-F7F30C0B9BD9}"/>
    <hyperlink ref="S130" r:id="rId123" xr:uid="{3BA6E427-B06C-404F-B388-31A5014195D8}"/>
    <hyperlink ref="S131" r:id="rId124" xr:uid="{EC4A5406-ECC5-4F81-8E93-13E0A7CFCEF8}"/>
    <hyperlink ref="S132" r:id="rId125" xr:uid="{75FD8726-DB82-43BE-A1A7-00A1A1AE94DE}"/>
    <hyperlink ref="S133" r:id="rId126" xr:uid="{BBF70369-E8FD-4C84-8AC8-3CBF77D5F2C2}"/>
    <hyperlink ref="S134" r:id="rId127" xr:uid="{A781D813-5245-4DD9-8558-8F1BC346961E}"/>
    <hyperlink ref="S135" r:id="rId128" xr:uid="{CE2F5077-9A4D-4132-A7FD-68C948150C98}"/>
    <hyperlink ref="S136" r:id="rId129" xr:uid="{3C0EE7E0-BCDE-4B58-B657-D80386F6D1F8}"/>
    <hyperlink ref="S137" r:id="rId130" xr:uid="{8434F27B-DD36-43F5-9646-3A5DB1398ED1}"/>
    <hyperlink ref="S138" r:id="rId131" xr:uid="{06DE260C-A091-4DA5-9083-CC960F5CCE2B}"/>
    <hyperlink ref="S139" r:id="rId132" xr:uid="{07C0F692-BA9B-4633-9746-12129720E3B4}"/>
    <hyperlink ref="S140" r:id="rId133" xr:uid="{68FB20DD-069E-4DE1-8AA1-B7CF0A6AF310}"/>
    <hyperlink ref="S141" r:id="rId134" xr:uid="{7C2DB97C-A1DE-4095-B4F7-C241DD53B9B9}"/>
    <hyperlink ref="S142" r:id="rId135" xr:uid="{002233B9-BB6E-460F-AE11-2B0056E6C955}"/>
    <hyperlink ref="S143" r:id="rId136" xr:uid="{CCBD582E-1D39-4AC3-B263-2B643A6EC641}"/>
    <hyperlink ref="S144" r:id="rId137" xr:uid="{8F5750B7-3AF7-436D-B205-E51D52C7ABB9}"/>
    <hyperlink ref="S145" r:id="rId138" xr:uid="{3D4D328D-BE66-4C43-B6AD-199D1EDB386D}"/>
    <hyperlink ref="S146" r:id="rId139" xr:uid="{D57BF6D8-2491-4729-B0A4-041DDDFF5115}"/>
    <hyperlink ref="S147" r:id="rId140" xr:uid="{502921D7-B149-4E95-B892-EAF838083460}"/>
    <hyperlink ref="S148" r:id="rId141" xr:uid="{671F574F-C8D1-4106-927F-52A71B7357D0}"/>
    <hyperlink ref="S149" r:id="rId142" xr:uid="{8BE59431-651A-4BE7-90D2-CD9B08265345}"/>
    <hyperlink ref="S150" r:id="rId143" xr:uid="{5AF5032E-20D3-4211-84ED-FF3F39FD9BD2}"/>
    <hyperlink ref="S44" r:id="rId144" xr:uid="{1EFC3953-D5E7-4932-BF37-DFDBF21D447C}"/>
    <hyperlink ref="S151" r:id="rId145" xr:uid="{14C0402F-95CC-439C-9D12-871448F9A96F}"/>
    <hyperlink ref="S152" r:id="rId146" xr:uid="{5B98361B-6DA7-4403-88EA-38B53F5FF3B6}"/>
    <hyperlink ref="S153" r:id="rId147" xr:uid="{AA346217-724A-4F2C-9B42-3EC80BF0F308}"/>
    <hyperlink ref="S154" r:id="rId148" xr:uid="{0E932BEE-3BD4-44BB-8F3F-75F4F386F6E1}"/>
    <hyperlink ref="S155" r:id="rId149" xr:uid="{68B72A6C-755C-4EB5-8281-B7544B815BCB}"/>
    <hyperlink ref="S156" r:id="rId150" xr:uid="{A9FDF6A5-DDB7-416A-A1BE-B3EE942702B3}"/>
    <hyperlink ref="S157" r:id="rId151" xr:uid="{EB180D6E-0B74-439C-B266-43611D42D4BD}"/>
    <hyperlink ref="S158" r:id="rId152" xr:uid="{E8FA54C9-FECB-4B80-99A8-88A3D4C5BEB4}"/>
    <hyperlink ref="S159" r:id="rId153" xr:uid="{CCE0F908-5D88-4396-B74F-32284ABC83D4}"/>
    <hyperlink ref="S160" r:id="rId154" xr:uid="{4F2377A6-5230-4B65-A998-0D532870D52E}"/>
    <hyperlink ref="S161" r:id="rId155" xr:uid="{A8C90B1D-E8CE-4829-A58E-63FF5548F5B3}"/>
    <hyperlink ref="S162" r:id="rId156" xr:uid="{1D9708C0-B63B-45C3-9D27-6442BD906324}"/>
    <hyperlink ref="S164" r:id="rId157" xr:uid="{2598A769-4ECD-4041-9F24-87C29B90F3B2}"/>
    <hyperlink ref="S163" r:id="rId158" xr:uid="{C17A3409-4540-4CDC-BDE7-E1D66430D035}"/>
    <hyperlink ref="S165" r:id="rId159" xr:uid="{9ED0B610-A682-4DFA-8C6A-2827B25E5ED3}"/>
    <hyperlink ref="S166" r:id="rId160" xr:uid="{29C0C58C-A428-4979-B6F9-0AE940CD346E}"/>
    <hyperlink ref="S167" r:id="rId161" xr:uid="{D204D1F8-FA19-42D1-AF25-632792075122}"/>
    <hyperlink ref="S168" r:id="rId162" xr:uid="{877A35A4-9D94-44B4-95A1-DDC9CCF70C10}"/>
    <hyperlink ref="S169" r:id="rId163" xr:uid="{E8401BB5-CDE4-4E29-8D6C-B8B1442BF51F}"/>
    <hyperlink ref="S170" r:id="rId164" xr:uid="{966C3653-9718-486A-B442-D0175222AA3A}"/>
    <hyperlink ref="S171" r:id="rId165" xr:uid="{2F9797F9-4422-4D28-B15C-56F073C83418}"/>
    <hyperlink ref="S172" r:id="rId166" xr:uid="{C18989AD-624D-41AB-9157-D730DBB99CE3}"/>
    <hyperlink ref="S173" r:id="rId167" xr:uid="{7FFA1AB2-496F-444D-AD6F-E30EFD5F4548}"/>
    <hyperlink ref="S174" r:id="rId168" xr:uid="{2010B743-76CB-4B1D-A888-C079258689EF}"/>
    <hyperlink ref="S175" r:id="rId169" xr:uid="{50AA5336-0D7E-4E48-A8C8-258F2046571D}"/>
    <hyperlink ref="S176" r:id="rId170" xr:uid="{98C94628-34E2-470F-A428-F8036C82FE8C}"/>
    <hyperlink ref="S177" r:id="rId171" xr:uid="{8A05F65F-1F18-4F06-BA4C-11F858612010}"/>
    <hyperlink ref="S178" r:id="rId172" xr:uid="{BE8C7CE5-A93C-41DB-89BD-FBF6D96CAF5B}"/>
    <hyperlink ref="S180" r:id="rId173" xr:uid="{E5F74282-CFC1-4E2A-8BC9-F2745F6F6CBB}"/>
    <hyperlink ref="S181" r:id="rId174" xr:uid="{83E160D0-69A8-490D-974F-0E86A4835872}"/>
    <hyperlink ref="S182" r:id="rId175" xr:uid="{5F7B5509-7F58-4AA1-A43E-EFE4BB7D8449}"/>
    <hyperlink ref="S184" r:id="rId176" xr:uid="{63480D1D-9345-4959-A902-3EB313D1DEA8}"/>
    <hyperlink ref="S183" r:id="rId177" xr:uid="{4E5525B6-57E7-4C5F-AA19-39D9FC6C75FC}"/>
    <hyperlink ref="S185" r:id="rId178" xr:uid="{A0099D2B-A885-4841-9BB2-43FE741D058B}"/>
    <hyperlink ref="S179" r:id="rId179" xr:uid="{A58BA1F4-C985-45B8-ADF2-589F6545FD6A}"/>
    <hyperlink ref="S186" r:id="rId180" xr:uid="{1D5822CA-CABE-4F16-B91E-624D91E6A1FE}"/>
    <hyperlink ref="S187" r:id="rId181" xr:uid="{0B05F5DF-94A7-4D69-9EAD-BFE69B078DDE}"/>
    <hyperlink ref="S188" r:id="rId182" xr:uid="{9A5CFCF3-A99E-4C44-8374-3E0BCFC23315}"/>
    <hyperlink ref="S189" r:id="rId183" xr:uid="{8B3EA6ED-F471-4DF6-8CA9-B8B7BF68D594}"/>
    <hyperlink ref="S190" r:id="rId184" xr:uid="{40F0C258-78CB-425C-9CA2-BBEE0E5AD007}"/>
    <hyperlink ref="S191" r:id="rId185" xr:uid="{14BA73A9-9F5D-42E5-BFDD-33AFD8AC887B}"/>
    <hyperlink ref="S192" r:id="rId186" xr:uid="{2BAA3CDD-5CAB-440E-B004-D69871BB97D7}"/>
    <hyperlink ref="S193" r:id="rId187" xr:uid="{15E06D94-CE36-48C0-8B30-2085303A8651}"/>
    <hyperlink ref="S194" r:id="rId188" xr:uid="{40A99FBD-46C1-4192-87F9-D7BA662B7059}"/>
    <hyperlink ref="S195" r:id="rId189" xr:uid="{73015B1B-5AA5-49AB-8084-1FB1A5A5EF6B}"/>
    <hyperlink ref="S196" r:id="rId190" xr:uid="{1EFE445C-4F6A-4078-A662-ACFB1A416E47}"/>
    <hyperlink ref="S197" r:id="rId191" xr:uid="{4033C453-85DD-4DC7-A04F-DD1BBBC9A5E7}"/>
    <hyperlink ref="S198" r:id="rId192" xr:uid="{FBA65FDE-0751-4E1E-9161-47C69AEBDC7D}"/>
    <hyperlink ref="S199" r:id="rId193" xr:uid="{A01DC118-EDC5-431B-8227-6F3531165F29}"/>
    <hyperlink ref="S200" r:id="rId194" xr:uid="{5B52D71C-1EE4-4897-9D79-B0E3B0D75531}"/>
    <hyperlink ref="S201" r:id="rId195" xr:uid="{D4E218A3-B1C2-4834-B613-A3FC931D35BB}"/>
    <hyperlink ref="S202" r:id="rId196" xr:uid="{0E565BE1-8B4B-417A-B347-3D8027283E79}"/>
    <hyperlink ref="S203" r:id="rId197" xr:uid="{E35B6D51-7D6D-49BD-93B2-E8F992563DB1}"/>
    <hyperlink ref="S204" r:id="rId198" xr:uid="{664A6E88-046C-4E40-BEB4-2F210F565AD0}"/>
    <hyperlink ref="S205" r:id="rId199" xr:uid="{4192AF70-2838-4B60-9EEB-4EEBDA9011B0}"/>
    <hyperlink ref="S206" r:id="rId200" xr:uid="{E6CCF802-42E0-44FA-8A7A-126F63B548F7}"/>
    <hyperlink ref="S207" r:id="rId201" xr:uid="{EA9BEADB-08E5-4782-A82F-AE9E800CAAAD}"/>
    <hyperlink ref="S208" r:id="rId202" xr:uid="{A00007A6-5042-4DFD-8371-FF27A2404CF9}"/>
    <hyperlink ref="S210" r:id="rId203" xr:uid="{8E7D8C95-5B2A-401D-A1D3-DF5C3C3A84B1}"/>
    <hyperlink ref="S211" r:id="rId204" xr:uid="{A9958892-77C2-43A9-B459-677BE53E1885}"/>
    <hyperlink ref="S212" r:id="rId205" xr:uid="{5540BAA8-F5A2-421F-8CB9-882D5C80EF3F}"/>
    <hyperlink ref="S213" r:id="rId206" xr:uid="{21313D6D-B268-433C-A292-56D2D8ABF499}"/>
    <hyperlink ref="S209" r:id="rId207" xr:uid="{ECE10F11-09F5-4F77-B3E6-F9AE209101FC}"/>
    <hyperlink ref="S214" r:id="rId208" xr:uid="{A048553C-D60D-4A9E-9023-767E84BE418E}"/>
    <hyperlink ref="S215" r:id="rId209" xr:uid="{583CA4AD-86D4-4771-BBE0-7723149FF771}"/>
    <hyperlink ref="S216" r:id="rId210" xr:uid="{08D70A83-FA9C-456B-89E5-3FB5EEB51D43}"/>
    <hyperlink ref="S217" r:id="rId211" xr:uid="{3E2B5705-04C3-4749-9736-F0EB1FEF8359}"/>
    <hyperlink ref="S218" r:id="rId212" xr:uid="{5D76E141-76D3-4299-8173-CB933EA19694}"/>
    <hyperlink ref="S219" r:id="rId213" xr:uid="{B859D2E4-E03C-47E1-9A45-B33388DE7FCC}"/>
    <hyperlink ref="S220" r:id="rId214" xr:uid="{7B2AD8DA-90B5-4E79-8AB3-FAD53D540E44}"/>
    <hyperlink ref="S221" r:id="rId215" xr:uid="{9101FD63-3400-4261-8588-C9B367EBFC10}"/>
    <hyperlink ref="S222" r:id="rId216" xr:uid="{96950472-D147-4369-B0BB-6FAFDE72B817}"/>
    <hyperlink ref="S223" r:id="rId217" xr:uid="{CDE9F562-9858-4E4F-A71E-266C6791CC95}"/>
    <hyperlink ref="S224" r:id="rId218" xr:uid="{146C19C4-DB8D-4818-8CD4-ECAE501AC581}"/>
    <hyperlink ref="S239" r:id="rId219" xr:uid="{C68968A9-4B31-4BE2-B5B4-288A2044757F}"/>
    <hyperlink ref="S240" r:id="rId220" xr:uid="{000102D7-69D0-4542-B1E0-6F115F4AD276}"/>
    <hyperlink ref="S241" r:id="rId221" xr:uid="{E13E9285-5F54-4D2C-B596-136D07A6729F}"/>
    <hyperlink ref="S242" r:id="rId222" xr:uid="{A2755F90-E114-4B11-A2DF-E9493F52C6DA}"/>
    <hyperlink ref="S243" r:id="rId223" xr:uid="{522155CB-DB25-449D-8298-2A4261672CFD}"/>
    <hyperlink ref="S244" r:id="rId224" xr:uid="{EEC44480-B81E-4BAE-8000-42BA54267A2E}"/>
    <hyperlink ref="S245" r:id="rId225" xr:uid="{8C9F092B-1B78-413E-A76F-6A999C21E5C2}"/>
    <hyperlink ref="S246" r:id="rId226" xr:uid="{C07043D7-5969-4971-A113-0CD7D71D5391}"/>
    <hyperlink ref="S247" r:id="rId227" xr:uid="{D4615715-F811-4ACC-83F1-58B527B62282}"/>
    <hyperlink ref="S249" r:id="rId228" xr:uid="{661613A3-8D0D-4EF5-80E9-C250B35202F9}"/>
    <hyperlink ref="S250" r:id="rId229" xr:uid="{665FF0B6-293A-4E32-95C6-D2723C41E43A}"/>
    <hyperlink ref="S259" r:id="rId230" xr:uid="{6618B5FC-F828-4B49-A3C6-E58350C95AB5}"/>
    <hyperlink ref="S260" r:id="rId231" xr:uid="{451BAC55-DC0B-4CDD-B6FE-A58607E3A15C}"/>
    <hyperlink ref="S261" r:id="rId232" xr:uid="{1359A35F-B7DB-49D7-A70F-81FFD4574481}"/>
  </hyperlinks>
  <pageMargins left="0.7" right="0.7" top="0.75" bottom="0.75" header="0.3" footer="0.3"/>
  <pageSetup orientation="portrait" r:id="rId23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F2D1A-2E78-4D65-8CCF-35EF13FB434D}">
  <dimension ref="A1"/>
  <sheetViews>
    <sheetView workbookViewId="0">
      <selection activeCell="N20" sqref="N20"/>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08A92-499B-437E-AA73-0BB736542043}">
  <dimension ref="A1:C32"/>
  <sheetViews>
    <sheetView workbookViewId="0">
      <pane ySplit="1" topLeftCell="A3" activePane="bottomLeft" state="frozen"/>
      <selection pane="bottomLeft" activeCell="A7" sqref="A7"/>
    </sheetView>
  </sheetViews>
  <sheetFormatPr defaultRowHeight="14.4" x14ac:dyDescent="0.3"/>
  <cols>
    <col min="1" max="1" width="81" bestFit="1" customWidth="1"/>
  </cols>
  <sheetData>
    <row r="1" spans="1:3" s="1" customFormat="1" x14ac:dyDescent="0.3">
      <c r="A1" s="1" t="s">
        <v>151</v>
      </c>
      <c r="B1" s="1" t="s">
        <v>28</v>
      </c>
      <c r="C1" s="1" t="s">
        <v>2</v>
      </c>
    </row>
    <row r="2" spans="1:3" x14ac:dyDescent="0.3">
      <c r="A2" t="s">
        <v>153</v>
      </c>
      <c r="C2" t="s">
        <v>152</v>
      </c>
    </row>
    <row r="3" spans="1:3" x14ac:dyDescent="0.3">
      <c r="A3" t="s">
        <v>190</v>
      </c>
      <c r="B3" s="8" t="s">
        <v>169</v>
      </c>
      <c r="C3" t="s">
        <v>224</v>
      </c>
    </row>
    <row r="4" spans="1:3" x14ac:dyDescent="0.3">
      <c r="A4" t="s">
        <v>222</v>
      </c>
      <c r="B4" s="7" t="s">
        <v>223</v>
      </c>
      <c r="C4" t="s">
        <v>224</v>
      </c>
    </row>
    <row r="5" spans="1:3" x14ac:dyDescent="0.3">
      <c r="A5" t="s">
        <v>242</v>
      </c>
      <c r="B5" s="7" t="s">
        <v>243</v>
      </c>
      <c r="C5" t="s">
        <v>224</v>
      </c>
    </row>
    <row r="6" spans="1:3" x14ac:dyDescent="0.3">
      <c r="A6" t="s">
        <v>281</v>
      </c>
      <c r="B6" s="7" t="s">
        <v>280</v>
      </c>
      <c r="C6" t="s">
        <v>224</v>
      </c>
    </row>
    <row r="7" spans="1:3" x14ac:dyDescent="0.3">
      <c r="A7" t="s">
        <v>302</v>
      </c>
      <c r="B7" s="7" t="s">
        <v>301</v>
      </c>
      <c r="C7" t="s">
        <v>224</v>
      </c>
    </row>
    <row r="8" spans="1:3" x14ac:dyDescent="0.3">
      <c r="A8" t="s">
        <v>328</v>
      </c>
      <c r="B8" s="7" t="s">
        <v>326</v>
      </c>
      <c r="C8" t="s">
        <v>224</v>
      </c>
    </row>
    <row r="9" spans="1:3" x14ac:dyDescent="0.3">
      <c r="A9" t="s">
        <v>334</v>
      </c>
      <c r="B9" s="7" t="s">
        <v>333</v>
      </c>
    </row>
    <row r="10" spans="1:3" x14ac:dyDescent="0.3">
      <c r="A10" t="s">
        <v>342</v>
      </c>
      <c r="B10" s="7" t="s">
        <v>343</v>
      </c>
      <c r="C10" t="s">
        <v>344</v>
      </c>
    </row>
    <row r="11" spans="1:3" x14ac:dyDescent="0.3">
      <c r="A11" t="s">
        <v>346</v>
      </c>
      <c r="B11" s="7" t="s">
        <v>345</v>
      </c>
      <c r="C11" t="s">
        <v>224</v>
      </c>
    </row>
    <row r="12" spans="1:3" x14ac:dyDescent="0.3">
      <c r="A12" t="s">
        <v>358</v>
      </c>
      <c r="B12" s="7" t="s">
        <v>359</v>
      </c>
    </row>
    <row r="13" spans="1:3" x14ac:dyDescent="0.3">
      <c r="A13" t="s">
        <v>88</v>
      </c>
      <c r="B13" s="2" t="s">
        <v>87</v>
      </c>
    </row>
    <row r="14" spans="1:3" x14ac:dyDescent="0.3">
      <c r="A14" t="s">
        <v>391</v>
      </c>
      <c r="B14" s="2" t="s">
        <v>392</v>
      </c>
    </row>
    <row r="15" spans="1:3" x14ac:dyDescent="0.3">
      <c r="A15" t="s">
        <v>400</v>
      </c>
      <c r="B15" s="7" t="s">
        <v>401</v>
      </c>
    </row>
    <row r="16" spans="1:3" x14ac:dyDescent="0.3">
      <c r="A16" t="s">
        <v>403</v>
      </c>
      <c r="B16" s="7" t="s">
        <v>404</v>
      </c>
    </row>
    <row r="17" spans="1:2" x14ac:dyDescent="0.3">
      <c r="A17" t="s">
        <v>405</v>
      </c>
      <c r="B17" s="7" t="s">
        <v>406</v>
      </c>
    </row>
    <row r="18" spans="1:2" x14ac:dyDescent="0.3">
      <c r="A18" t="s">
        <v>433</v>
      </c>
      <c r="B18" s="7" t="s">
        <v>432</v>
      </c>
    </row>
    <row r="19" spans="1:2" x14ac:dyDescent="0.3">
      <c r="A19" t="s">
        <v>448</v>
      </c>
      <c r="B19" s="7" t="s">
        <v>449</v>
      </c>
    </row>
    <row r="20" spans="1:2" x14ac:dyDescent="0.3">
      <c r="A20" t="s">
        <v>455</v>
      </c>
      <c r="B20" s="7" t="s">
        <v>456</v>
      </c>
    </row>
    <row r="21" spans="1:2" x14ac:dyDescent="0.3">
      <c r="A21" t="s">
        <v>462</v>
      </c>
      <c r="B21" s="7" t="s">
        <v>463</v>
      </c>
    </row>
    <row r="22" spans="1:2" x14ac:dyDescent="0.3">
      <c r="A22" t="s">
        <v>468</v>
      </c>
      <c r="B22" s="7" t="s">
        <v>467</v>
      </c>
    </row>
    <row r="23" spans="1:2" x14ac:dyDescent="0.3">
      <c r="A23" t="s">
        <v>575</v>
      </c>
      <c r="B23" s="7" t="s">
        <v>576</v>
      </c>
    </row>
    <row r="24" spans="1:2" x14ac:dyDescent="0.3">
      <c r="A24" t="s">
        <v>581</v>
      </c>
      <c r="B24" s="7" t="s">
        <v>582</v>
      </c>
    </row>
    <row r="25" spans="1:2" x14ac:dyDescent="0.3">
      <c r="A25" t="s">
        <v>583</v>
      </c>
      <c r="B25" s="7" t="s">
        <v>584</v>
      </c>
    </row>
    <row r="26" spans="1:2" x14ac:dyDescent="0.3">
      <c r="A26" t="s">
        <v>589</v>
      </c>
      <c r="B26" s="7" t="s">
        <v>590</v>
      </c>
    </row>
    <row r="27" spans="1:2" x14ac:dyDescent="0.3">
      <c r="A27" t="s">
        <v>606</v>
      </c>
      <c r="B27" t="s">
        <v>607</v>
      </c>
    </row>
    <row r="28" spans="1:2" x14ac:dyDescent="0.3">
      <c r="A28" t="s">
        <v>614</v>
      </c>
      <c r="B28" t="s">
        <v>607</v>
      </c>
    </row>
    <row r="29" spans="1:2" x14ac:dyDescent="0.3">
      <c r="A29" t="s">
        <v>622</v>
      </c>
      <c r="B29" s="7" t="s">
        <v>623</v>
      </c>
    </row>
    <row r="30" spans="1:2" x14ac:dyDescent="0.3">
      <c r="A30" t="s">
        <v>636</v>
      </c>
      <c r="B30" s="7" t="s">
        <v>438</v>
      </c>
    </row>
    <row r="31" spans="1:2" x14ac:dyDescent="0.3">
      <c r="A31" t="s">
        <v>640</v>
      </c>
      <c r="B31" t="s">
        <v>641</v>
      </c>
    </row>
    <row r="32" spans="1:2" x14ac:dyDescent="0.3">
      <c r="A32" t="s">
        <v>657</v>
      </c>
      <c r="B32" s="7" t="s">
        <v>658</v>
      </c>
    </row>
  </sheetData>
  <phoneticPr fontId="3" type="noConversion"/>
  <hyperlinks>
    <hyperlink ref="B3" r:id="rId1" xr:uid="{C446C9E1-AEFE-49B9-8454-B0FDE19B0BCF}"/>
    <hyperlink ref="B4" r:id="rId2" xr:uid="{EAA23767-26A8-4945-9013-46F3430D3587}"/>
    <hyperlink ref="B5" r:id="rId3" xr:uid="{B0D5D69D-15D4-4966-86DA-CF247B614ED3}"/>
    <hyperlink ref="B6" r:id="rId4" xr:uid="{E1FFF74A-B189-43C8-82DE-5984C2F1DCAF}"/>
    <hyperlink ref="B7" r:id="rId5" xr:uid="{B5DDFDE6-C255-4AE5-8E52-E0A71A711E7E}"/>
    <hyperlink ref="B8" r:id="rId6" xr:uid="{71DF9343-B739-42CC-842D-365DDBE3E345}"/>
    <hyperlink ref="B9" r:id="rId7" xr:uid="{CEB488B9-D548-4539-9733-E25D9369AD40}"/>
    <hyperlink ref="B10" r:id="rId8" xr:uid="{D1607E95-E54E-49BD-A104-A80B4F454705}"/>
    <hyperlink ref="B11" r:id="rId9" xr:uid="{05142E14-1E3E-4B8A-A826-9AAC6CF1E395}"/>
    <hyperlink ref="B12" r:id="rId10" xr:uid="{A6231951-CC1B-4BF6-A685-F121EEA589CF}"/>
    <hyperlink ref="B13" r:id="rId11" xr:uid="{9F8F02A9-9A08-4AF5-B852-0969E259171A}"/>
    <hyperlink ref="B14" r:id="rId12" xr:uid="{5AA91A1A-86D1-44D2-A834-4E9F2F9DF795}"/>
    <hyperlink ref="B15" r:id="rId13" xr:uid="{DF927339-C201-4E6B-B34F-4C7BEEF6D201}"/>
    <hyperlink ref="B16" r:id="rId14" xr:uid="{DF19F88B-4F76-4E54-BC29-A14E8332573B}"/>
    <hyperlink ref="B17" r:id="rId15" xr:uid="{58E5919E-41D1-4E45-84C3-7B09BE5595B2}"/>
    <hyperlink ref="B18" r:id="rId16" xr:uid="{67BC5685-C0C3-47E3-B85B-F02826CFAB4C}"/>
    <hyperlink ref="B19" r:id="rId17" xr:uid="{F175DE6E-83C8-4073-BFB8-78EB42BD5C90}"/>
    <hyperlink ref="B20" r:id="rId18" xr:uid="{CC2E5BF1-4821-439E-B5A7-7B0A3953423D}"/>
    <hyperlink ref="B21" r:id="rId19" xr:uid="{B39567B8-9F13-4F9C-B9FC-4175C0479A31}"/>
    <hyperlink ref="B22" r:id="rId20" xr:uid="{BE7BBF2E-CC2B-41A6-B607-3D5C0B3AE347}"/>
    <hyperlink ref="B23" r:id="rId21" xr:uid="{85B4859E-0A90-48A9-83D3-E3035BB916CB}"/>
    <hyperlink ref="B24" r:id="rId22" xr:uid="{8A1E7B67-4C31-42C4-8AB8-E6F955687F24}"/>
    <hyperlink ref="B25" r:id="rId23" xr:uid="{AF0F6A53-431F-4AD8-84AB-98AA362C354A}"/>
    <hyperlink ref="B26" r:id="rId24" xr:uid="{CAC9A72A-F048-4A30-93C6-F0C1D6724CA7}"/>
    <hyperlink ref="B29" r:id="rId25" xr:uid="{81A84CB4-8823-4DDC-A319-D7726AEAC594}"/>
    <hyperlink ref="B30" r:id="rId26" xr:uid="{A155CE8D-A0A0-4E6B-866F-1DE3D7987C27}"/>
    <hyperlink ref="B32" r:id="rId27" xr:uid="{41715D35-5699-45EC-8DD0-CAFB1BBE7F1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1FB10-5CDA-4283-82B3-0400FBA4AD78}">
  <dimension ref="A1:A6"/>
  <sheetViews>
    <sheetView workbookViewId="0">
      <pane ySplit="1" topLeftCell="A2" activePane="bottomLeft" state="frozen"/>
      <selection pane="bottomLeft" activeCell="G19" sqref="G19"/>
    </sheetView>
  </sheetViews>
  <sheetFormatPr defaultRowHeight="14.4" x14ac:dyDescent="0.3"/>
  <sheetData>
    <row r="1" spans="1:1" x14ac:dyDescent="0.3">
      <c r="A1" s="1" t="s">
        <v>145</v>
      </c>
    </row>
    <row r="2" spans="1:1" x14ac:dyDescent="0.3">
      <c r="A2" t="s">
        <v>146</v>
      </c>
    </row>
    <row r="3" spans="1:1" x14ac:dyDescent="0.3">
      <c r="A3" t="s">
        <v>147</v>
      </c>
    </row>
    <row r="4" spans="1:1" x14ac:dyDescent="0.3">
      <c r="A4" t="s">
        <v>148</v>
      </c>
    </row>
    <row r="5" spans="1:1" x14ac:dyDescent="0.3">
      <c r="A5" t="s">
        <v>149</v>
      </c>
    </row>
    <row r="6" spans="1:1" x14ac:dyDescent="0.3">
      <c r="A6" t="s">
        <v>150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Collected_dates_final</vt:lpstr>
      <vt:lpstr>Collected_dates_working</vt:lpstr>
      <vt:lpstr>p3k14c_extra</vt:lpstr>
      <vt:lpstr>Journal Articles</vt:lpstr>
      <vt:lpstr>Journals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Alexes Mes</dc:creator>
  <cp:lastModifiedBy>Alexes Mes</cp:lastModifiedBy>
  <dcterms:created xsi:type="dcterms:W3CDTF">2023-10-18T10:16:39Z</dcterms:created>
  <dcterms:modified xsi:type="dcterms:W3CDTF">2023-11-28T10:43:03Z</dcterms:modified>
</cp:coreProperties>
</file>